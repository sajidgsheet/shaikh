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jid\Desktop\sajid stock market logic one\"/>
    </mc:Choice>
  </mc:AlternateContent>
  <xr:revisionPtr revIDLastSave="0" documentId="13_ncr:1_{E0179716-8149-4D08-BC1F-149064391A39}" xr6:coauthVersionLast="47" xr6:coauthVersionMax="47" xr10:uidLastSave="{00000000-0000-0000-0000-000000000000}"/>
  <bookViews>
    <workbookView xWindow="-120" yWindow="-120" windowWidth="21840" windowHeight="13140" activeTab="1" xr2:uid="{22CDF33E-27CF-4489-8E55-380D6BFCB3B0}"/>
  </bookViews>
  <sheets>
    <sheet name="data" sheetId="12" r:id="rId1"/>
    <sheet name="Main" sheetId="10" r:id="rId2"/>
    <sheet name="Profit Book" sheetId="11" r:id="rId3"/>
    <sheet name="Table 0" sheetId="17" r:id="rId4"/>
    <sheet name="test" sheetId="18" r:id="rId5"/>
  </sheets>
  <definedNames>
    <definedName name="ExternalData_1" localSheetId="0" hidden="1">data!$A$1:$K$153</definedName>
    <definedName name="ExternalData_1" localSheetId="3" hidden="1">'Table 0'!$A$1:$D$16</definedName>
    <definedName name="ExternalData_2" localSheetId="3" hidden="1">'Table 0'!$I$1:$J$4</definedName>
    <definedName name="ExternalData_3" localSheetId="3" hidden="1">'Table 0'!$I$6:$J$9</definedName>
    <definedName name="ExternalData_4" localSheetId="3" hidden="1">'Table 0'!$I$11:$J$14</definedName>
    <definedName name="LTP">data[LTP]</definedName>
    <definedName name="strike">data[Strike  Price]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0  2_d3e361d2-e35e-4e4c-818f-5a89cc289245" name="Table 0  2" connection="Query - Table 0 (2)"/>
          <x15:modelTable id="Table 10_974b93f8-cc19-43b3-8b43-858e53b8e79a" name="Table 10" connection="Query - Table 10"/>
          <x15:modelTable id="Table 5_a07dae7b-5160-4760-a07a-dbbb4fd9aee6" name="Table 5" connection="Query - Table 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" i="10" l="1"/>
  <c r="B2" i="10"/>
  <c r="D2" i="10" s="1"/>
  <c r="G2" i="10"/>
  <c r="F2" i="10"/>
  <c r="I2" i="10" s="1"/>
  <c r="E2" i="10"/>
  <c r="P5" i="10" l="1"/>
  <c r="H2" i="10"/>
  <c r="P6" i="10" l="1"/>
  <c r="Q6" i="10" s="1"/>
  <c r="P4" i="10"/>
  <c r="Q4" i="10" s="1"/>
  <c r="P11" i="10"/>
  <c r="Q11" i="10" s="1"/>
  <c r="P1" i="10"/>
  <c r="Q1" i="10" s="1"/>
  <c r="P10" i="10"/>
  <c r="Q10" i="10" s="1"/>
  <c r="P2" i="10"/>
  <c r="Q2" i="10" s="1"/>
  <c r="P9" i="10"/>
  <c r="Q9" i="10" s="1"/>
  <c r="P3" i="10"/>
  <c r="Q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39D04C-EB20-4117-81A8-30DFE8B164C6}" keepAlive="1" name="ModelConnection_ExternalData_2" description="Data Model" type="5" refreshedVersion="7" minRefreshableVersion="5" saveData="1">
    <dbPr connection="Data Model Connection" command="Table 0  2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F57BF79-C0D8-4EAF-86F9-5BFDB52EDBA4}" keepAlive="1" name="ModelConnection_ExternalData_3" description="Data Model" type="5" refreshedVersion="7" minRefreshableVersion="5" saveData="1">
    <dbPr connection="Data Model Connection" command="Table 10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888BB22D-4540-458A-82A3-8A76E35AF8C4}" keepAlive="1" name="ModelConnection_ExternalData_4" description="Data Model" type="5" refreshedVersion="7" minRefreshableVersion="5" saveData="1">
    <dbPr connection="Data Model Connection" command="Table 5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82C45230-6EC5-4410-97F0-3D7E5828E75C}" keepAlive="1" name="Query - data" description="Connection to the 'data' query in the workbook." type="5" refreshedVersion="7" background="1" saveData="1">
    <dbPr connection="Provider=Microsoft.Mashup.OleDb.1;Data Source=$Workbook$;Location=data;Extended Properties=&quot;&quot;" command="SELECT * FROM [data]"/>
  </connection>
  <connection id="5" xr16:uid="{451954A5-23BA-43E3-82EE-B4E6904F9EB6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6" xr16:uid="{7A8C603E-FD1D-47E3-86AD-0BA05AEDF9B8}" name="Query - Table 0 (2)" description="Connection to the 'Table 0 (2)' query in the workbook." type="100" refreshedVersion="7" minRefreshableVersion="5">
    <extLst>
      <ext xmlns:x15="http://schemas.microsoft.com/office/spreadsheetml/2010/11/main" uri="{DE250136-89BD-433C-8126-D09CA5730AF9}">
        <x15:connection id="14b60c81-2995-4d4d-a205-aa3799f179c4">
          <x15:oledbPr connection="Provider=Microsoft.Mashup.OleDb.1;Data Source=$Workbook$;Location=&quot;Table 0 (2)&quot;;Extended Properties=&quot;&quot;">
            <x15:dbTables>
              <x15:dbTable name="Table 0 (2)"/>
            </x15:dbTables>
          </x15:oledbPr>
        </x15:connection>
      </ext>
    </extLst>
  </connection>
  <connection id="7" xr16:uid="{2166D85A-B73B-44A6-B8D7-396A0A14FA9B}" name="Query - Table 10" description="Connection to the 'Table 10' query in the workbook." type="100" refreshedVersion="7" minRefreshableVersion="5">
    <extLst>
      <ext xmlns:x15="http://schemas.microsoft.com/office/spreadsheetml/2010/11/main" uri="{DE250136-89BD-433C-8126-D09CA5730AF9}">
        <x15:connection id="fe9a812b-5d30-49ca-9f23-0e8c1b6bfdba">
          <x15:oledbPr connection="Provider=Microsoft.Mashup.OleDb.1;Data Source=$Workbook$;Location=&quot;Table 10&quot;;Extended Properties=&quot;&quot;">
            <x15:dbTables>
              <x15:dbTable name="Table 10"/>
            </x15:dbTables>
          </x15:oledbPr>
        </x15:connection>
      </ext>
    </extLst>
  </connection>
  <connection id="8" xr16:uid="{D6CADEE8-656C-4696-AF5A-9C1EB05AC53D}" name="Query - Table 5" description="Connection to the 'Table 5' query in the workbook." type="100" refreshedVersion="7" minRefreshableVersion="5">
    <extLst>
      <ext xmlns:x15="http://schemas.microsoft.com/office/spreadsheetml/2010/11/main" uri="{DE250136-89BD-433C-8126-D09CA5730AF9}">
        <x15:connection id="31f64114-211e-4a89-b732-c0493c90e970">
          <x15:oledbPr connection="Provider=Microsoft.Mashup.OleDb.1;Data Source=$Workbook$;Location=&quot;Table 5&quot;;Extended Properties=&quot;&quot;">
            <x15:dbTables>
              <x15:dbTable name="Table 5"/>
            </x15:dbTables>
          </x15:oledbPr>
        </x15:connection>
      </ext>
    </extLst>
  </connection>
  <connection id="9" xr16:uid="{F33BF7E0-ABA4-4AB0-AD62-173DCCE1BFFA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<sst xmlns="http://schemas.openxmlformats.org/spreadsheetml/2006/main" count="94" uniqueCount="64">
  <si>
    <t>OI</t>
  </si>
  <si>
    <t>LTP</t>
  </si>
  <si>
    <t>Qty</t>
  </si>
  <si>
    <t>total</t>
  </si>
  <si>
    <t>Profit</t>
  </si>
  <si>
    <t>Date</t>
  </si>
  <si>
    <t>Strike</t>
  </si>
  <si>
    <t>Old Price</t>
  </si>
  <si>
    <t xml:space="preserve"> Sign</t>
  </si>
  <si>
    <t>OI  Change</t>
  </si>
  <si>
    <t>Volume</t>
  </si>
  <si>
    <t>Chg in LTP</t>
  </si>
  <si>
    <t>Strike  Price</t>
  </si>
  <si>
    <t>LTP2</t>
  </si>
  <si>
    <t>Chg in LTP2</t>
  </si>
  <si>
    <t>Volume2</t>
  </si>
  <si>
    <t>OI  Change2</t>
  </si>
  <si>
    <t>OI2</t>
  </si>
  <si>
    <t>ce</t>
  </si>
  <si>
    <t>loss</t>
  </si>
  <si>
    <t>pe</t>
  </si>
  <si>
    <t xml:space="preserve"> </t>
  </si>
  <si>
    <t>Column1</t>
  </si>
  <si>
    <t>Column2</t>
  </si>
  <si>
    <t>Column3</t>
  </si>
  <si>
    <t>Column4</t>
  </si>
  <si>
    <t>Nifty 50</t>
  </si>
  <si>
    <t>BSE Sensex</t>
  </si>
  <si>
    <t>Nifty Bank</t>
  </si>
  <si>
    <t>Nifty IT</t>
  </si>
  <si>
    <t>BSE SmallCap</t>
  </si>
  <si>
    <t>BSE MidCap</t>
  </si>
  <si>
    <t>Nifty Auto</t>
  </si>
  <si>
    <t>BSE Cap Goods</t>
  </si>
  <si>
    <t>BSE Cons Durable</t>
  </si>
  <si>
    <t>BSE FMCG</t>
  </si>
  <si>
    <t>BSE Healthcare</t>
  </si>
  <si>
    <t>BSE Metals</t>
  </si>
  <si>
    <t>BSE Oil &amp; Gas</t>
  </si>
  <si>
    <t>BSE Teck</t>
  </si>
  <si>
    <t>Nifty PSE</t>
  </si>
  <si>
    <t>Live Old</t>
  </si>
  <si>
    <t>&lt;-----</t>
  </si>
  <si>
    <t>Only Current Price</t>
  </si>
  <si>
    <t>Moving Averages</t>
  </si>
  <si>
    <t>Bearish</t>
  </si>
  <si>
    <t>Technical Indicators</t>
  </si>
  <si>
    <t>Neutral</t>
  </si>
  <si>
    <t>Moving Averages Crossovers</t>
  </si>
  <si>
    <t>Bullish</t>
  </si>
  <si>
    <t>Very Bullish</t>
  </si>
  <si>
    <t>Very Bearish</t>
  </si>
  <si>
    <t>market</t>
  </si>
  <si>
    <t>Weekly</t>
  </si>
  <si>
    <t>Daily</t>
  </si>
  <si>
    <t>Monthly</t>
  </si>
  <si>
    <t>old rate</t>
  </si>
  <si>
    <t>Total</t>
  </si>
  <si>
    <t>Oid Strike</t>
  </si>
  <si>
    <t>Old Rate</t>
  </si>
  <si>
    <t>Sign</t>
  </si>
  <si>
    <t>Spot Price</t>
  </si>
  <si>
    <t>CE</t>
  </si>
  <si>
    <t>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</si>
</sst>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22"/>
      <color theme="1"/>
      <name val="Calibri"/>
      <family val="2"/>
      <scheme val="minor"/>
    </font>
    <font>
      <sz val="22"/>
      <color theme="9" tint="0.7999816888943144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0" fontId="1" fillId="2" borderId="0" xfId="0" applyFont="1" applyFill="1"/>
    <xf numFmtId="14" fontId="1" fillId="2" borderId="0" xfId="0" applyNumberFormat="1" applyFont="1" applyFill="1"/>
    <xf numFmtId="0" fontId="1" fillId="2" borderId="0" xfId="0" applyNumberFormat="1" applyFont="1" applyFill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14" fontId="0" fillId="0" borderId="2" xfId="0" applyNumberFormat="1" applyFont="1" applyBorder="1"/>
    <xf numFmtId="0" fontId="0" fillId="0" borderId="2" xfId="0" applyNumberFormat="1" applyFont="1" applyBorder="1"/>
    <xf numFmtId="0" fontId="0" fillId="3" borderId="0" xfId="0" applyNumberFormat="1" applyFill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4729BE2B-7E67-42F3-8000-5AB443A970D6}"/>
  </tableStyles>
  <colors>
    <mruColors>
      <color rgb="FFCDFF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2</xdr:row>
      <xdr:rowOff>57150</xdr:rowOff>
    </xdr:from>
    <xdr:to>
      <xdr:col>2</xdr:col>
      <xdr:colOff>1085850</xdr:colOff>
      <xdr:row>3</xdr:row>
      <xdr:rowOff>114300</xdr:rowOff>
    </xdr:to>
    <xdr:sp macro="[0]!Bu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C224B0-4F14-4BFD-A0C3-4A6ADB66BBEA}"/>
            </a:ext>
          </a:extLst>
        </xdr:cNvPr>
        <xdr:cNvSpPr/>
      </xdr:nvSpPr>
      <xdr:spPr>
        <a:xfrm>
          <a:off x="1685925" y="781050"/>
          <a:ext cx="199072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Buy</a:t>
          </a:r>
        </a:p>
      </xdr:txBody>
    </xdr:sp>
    <xdr:clientData/>
  </xdr:twoCellAnchor>
  <xdr:twoCellAnchor>
    <xdr:from>
      <xdr:col>3</xdr:col>
      <xdr:colOff>352425</xdr:colOff>
      <xdr:row>2</xdr:row>
      <xdr:rowOff>85725</xdr:rowOff>
    </xdr:from>
    <xdr:to>
      <xdr:col>4</xdr:col>
      <xdr:colOff>1047750</xdr:colOff>
      <xdr:row>3</xdr:row>
      <xdr:rowOff>142875</xdr:rowOff>
    </xdr:to>
    <xdr:sp macro="[0]!EXI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590DA8-AD98-483D-956F-3E52F02DB56A}"/>
            </a:ext>
          </a:extLst>
        </xdr:cNvPr>
        <xdr:cNvSpPr/>
      </xdr:nvSpPr>
      <xdr:spPr>
        <a:xfrm>
          <a:off x="4238625" y="809625"/>
          <a:ext cx="199072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Exit</a:t>
          </a:r>
        </a:p>
      </xdr:txBody>
    </xdr:sp>
    <xdr:clientData/>
  </xdr:twoCellAnchor>
  <xdr:twoCellAnchor>
    <xdr:from>
      <xdr:col>5</xdr:col>
      <xdr:colOff>28575</xdr:colOff>
      <xdr:row>2</xdr:row>
      <xdr:rowOff>133351</xdr:rowOff>
    </xdr:from>
    <xdr:to>
      <xdr:col>6</xdr:col>
      <xdr:colOff>19050</xdr:colOff>
      <xdr:row>3</xdr:row>
      <xdr:rowOff>114301</xdr:rowOff>
    </xdr:to>
    <xdr:sp macro="[0]!upd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6A1D307-DEAF-4EB4-A61E-697103C9BCE2}"/>
            </a:ext>
          </a:extLst>
        </xdr:cNvPr>
        <xdr:cNvSpPr/>
      </xdr:nvSpPr>
      <xdr:spPr>
        <a:xfrm>
          <a:off x="6629400" y="857251"/>
          <a:ext cx="16002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Live</a:t>
          </a:r>
          <a:r>
            <a:rPr lang="en-IN" sz="1100" baseline="0"/>
            <a:t> Updata</a:t>
          </a:r>
          <a:endParaRPr lang="en-IN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1B8E666-D3AD-4622-8F55-47C9C521DB1A}" autoFormatId="16" applyNumberFormats="0" applyBorderFormats="0" applyFontFormats="0" applyPatternFormats="0" applyAlignmentFormats="0" applyWidthHeightFormats="0">
  <queryTableRefresh nextId="13">
    <queryTableFields count="11">
      <queryTableField id="6" name="Strike  Price" tableColumnId="6"/>
      <queryTableField id="1" name="OI" tableColumnId="1"/>
      <queryTableField id="2" name="OI  Change" tableColumnId="2"/>
      <queryTableField id="3" name="Volume" tableColumnId="3"/>
      <queryTableField id="4" name="Chg in LTP" tableColumnId="4"/>
      <queryTableField id="5" name="LTP" tableColumnId="5"/>
      <queryTableField id="7" name="LTP2" tableColumnId="7"/>
      <queryTableField id="8" name="Chg in LTP2" tableColumnId="8"/>
      <queryTableField id="9" name="Volume2" tableColumnId="9"/>
      <queryTableField id="10" name="OI  Change2" tableColumnId="10"/>
      <queryTableField id="11" name="OI2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663B6B8-6AFC-4A26-B492-16778FCAC1F6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B9A95010-B04E-44B2-8101-54FA1C181957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  <extLst>
    <ext xmlns:x15="http://schemas.microsoft.com/office/spreadsheetml/2010/11/main" uri="{883FBD77-0823-4a55-B5E3-86C4891E6966}">
      <x15:queryTable sourceDataName="Query - Table 0 (2)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" xr16:uid="{C543345E-8E40-48B2-9BC8-B001010AD28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  <extLst>
    <ext xmlns:x15="http://schemas.microsoft.com/office/spreadsheetml/2010/11/main" uri="{883FBD77-0823-4a55-B5E3-86C4891E6966}">
      <x15:queryTable sourceDataName="Query - Table 10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3" xr16:uid="{1B922E33-3C2D-43F9-A0B1-A55F51D7822C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  <extLst>
    <ext xmlns:x15="http://schemas.microsoft.com/office/spreadsheetml/2010/11/main" uri="{883FBD77-0823-4a55-B5E3-86C4891E6966}">
      <x15:queryTable sourceDataName="Query - Table 5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52C80B-509C-4267-9705-991BF0C1E58C}" name="data" displayName="data" ref="A1:K153" tableType="queryTable" totalsRowShown="0">
  <autoFilter ref="A1:K153" xr:uid="{F052C80B-509C-4267-9705-991BF0C1E58C}"/>
  <sortState xmlns:xlrd2="http://schemas.microsoft.com/office/spreadsheetml/2017/richdata2" ref="A2:K153">
    <sortCondition descending="1" ref="B2:B153"/>
    <sortCondition descending="1" ref="D2:D153"/>
    <sortCondition descending="1" ref="F2:F153"/>
  </sortState>
  <tableColumns count="11">
    <tableColumn id="6" xr3:uid="{467B7DB4-D5C7-4970-A8D9-9BD75BCF8D91}" uniqueName="6" name="Strike  Price" queryTableFieldId="6"/>
    <tableColumn id="1" xr3:uid="{33495321-84B7-4E6D-A953-7A58A73A9058}" uniqueName="1" name="OI" queryTableFieldId="1" dataDxfId="18"/>
    <tableColumn id="2" xr3:uid="{156AC1A5-9275-443F-B888-2B02A071FDBF}" uniqueName="2" name="OI  Change" queryTableFieldId="2" dataDxfId="17"/>
    <tableColumn id="3" xr3:uid="{A7BC024F-CFAA-4263-B549-185D325DE798}" uniqueName="3" name="Volume" queryTableFieldId="3" dataDxfId="16"/>
    <tableColumn id="4" xr3:uid="{7E995452-99EB-419A-877A-E8D241019F95}" uniqueName="4" name="Chg in LTP" queryTableFieldId="4" dataDxfId="15"/>
    <tableColumn id="5" xr3:uid="{0698E606-539C-4283-82F6-4ACBD1226AAA}" uniqueName="5" name="LTP" queryTableFieldId="5" dataDxfId="14"/>
    <tableColumn id="7" xr3:uid="{D389CAF2-4D6F-48FD-928E-B0B089E1EDC9}" uniqueName="7" name="LTP2" queryTableFieldId="7" dataDxfId="13"/>
    <tableColumn id="8" xr3:uid="{6B172B08-3611-4FE5-9AC4-098FD1C67460}" uniqueName="8" name="Chg in LTP2" queryTableFieldId="8" dataDxfId="12"/>
    <tableColumn id="9" xr3:uid="{7D565278-877D-4C5C-9697-FD1BD50BE469}" uniqueName="9" name="Volume2" queryTableFieldId="9" dataDxfId="11"/>
    <tableColumn id="10" xr3:uid="{8E17C589-841B-4222-B396-E92CFDF2A46D}" uniqueName="10" name="OI  Change2" queryTableFieldId="10" dataDxfId="10"/>
    <tableColumn id="11" xr3:uid="{58EB1021-89BE-4A45-AFF6-938ADA194338}" uniqueName="11" name="OI2" queryTableFieldId="11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8EFBF0-ADAE-48DA-A768-15B15EBA530C}" name="Table4" displayName="Table4" ref="A5:I7" totalsRowShown="0">
  <autoFilter ref="A5:I7" xr:uid="{498EFBF0-ADAE-48DA-A768-15B15EBA530C}"/>
  <tableColumns count="9">
    <tableColumn id="1" xr3:uid="{D2183F77-EA45-4B0F-ABC2-3C0480066520}" name="Strike"/>
    <tableColumn id="2" xr3:uid="{EE947720-FA9E-41C8-8FF9-1283F4A765F3}" name="LTP"/>
    <tableColumn id="3" xr3:uid="{38258D9A-4EC8-44B9-B6ED-84A9B62546D7}" name="Qty"/>
    <tableColumn id="4" xr3:uid="{6AED57EB-5ECE-4A41-B6C1-0B21E6CE7B2A}" name="Total"/>
    <tableColumn id="5" xr3:uid="{D6F0F355-3C70-49B4-AD56-002A341268AF}" name="Date" dataDxfId="8"/>
    <tableColumn id="6" xr3:uid="{C7AF0D94-6B1F-4F09-925F-11FEBBAFF465}" name="Oid Strike" dataDxfId="7"/>
    <tableColumn id="7" xr3:uid="{D892AA3C-2221-4FF0-A82B-1A369178C6FE}" name="Old Rate"/>
    <tableColumn id="8" xr3:uid="{2F6BF9B1-C820-4378-A6CD-870455043071}" name="Profit"/>
    <tableColumn id="9" xr3:uid="{2D3FFBBF-33D8-41D1-961C-02BA3BA024EA}" name="Sig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27355-EC46-457D-9E40-691529255EEE}" name="Table_0" displayName="Table_0" ref="A1:D16" tableType="queryTable" totalsRowShown="0">
  <autoFilter ref="A1:D16" xr:uid="{95627355-EC46-457D-9E40-691529255EEE}"/>
  <tableColumns count="4">
    <tableColumn id="1" xr3:uid="{18707526-85B8-4077-8F61-177696C4954E}" uniqueName="1" name="Column1" queryTableFieldId="1" dataDxfId="6"/>
    <tableColumn id="2" xr3:uid="{ADB12D0D-721E-47B8-9736-F163993AC48B}" uniqueName="2" name="Column2" queryTableFieldId="2"/>
    <tableColumn id="3" xr3:uid="{A257325D-CB75-4BB3-8340-D313B5085ABD}" uniqueName="3" name="Column3" queryTableFieldId="3"/>
    <tableColumn id="4" xr3:uid="{BE8BE07A-DA77-4CB4-BD14-9DA87C31A44E}" uniqueName="4" name="Column4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A99E5F-ED0A-4A07-B66C-34943FB7CB68}" name="Table_0__2" displayName="Table_0__2" ref="I1:J4" tableType="queryTable" totalsRowShown="0">
  <autoFilter ref="I1:J4" xr:uid="{4DA99E5F-ED0A-4A07-B66C-34943FB7CB68}"/>
  <tableColumns count="2">
    <tableColumn id="1" xr3:uid="{3DEE6A05-8FFD-4534-A2A1-B1FF8832C758}" uniqueName="1" name="Daily" queryTableFieldId="1" dataDxfId="5"/>
    <tableColumn id="2" xr3:uid="{851AD80C-D4FB-4B1C-BF31-BAB7CC6A92C6}" uniqueName="2" name="market" queryTableFieldId="2" dataDxf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A62A33-332A-4884-8489-3C5D3F98866A}" name="Table_10" displayName="Table_10" ref="I6:J9" tableType="queryTable" totalsRowShown="0">
  <autoFilter ref="I6:J9" xr:uid="{70A62A33-332A-4884-8489-3C5D3F98866A}"/>
  <tableColumns count="2">
    <tableColumn id="1" xr3:uid="{F97C314F-CF97-40A6-8440-DE53F8408B6B}" uniqueName="1" name="Monthly" queryTableFieldId="1" dataDxfId="3"/>
    <tableColumn id="2" xr3:uid="{1D6C5714-66EA-4CE9-8AEA-8784B3A6A411}" uniqueName="2" name="market" queryTableFieldId="2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9B9FC-06D6-4FC1-B77A-682E5B2F7AD6}" name="Table_5" displayName="Table_5" ref="I11:J14" tableType="queryTable" totalsRowShown="0">
  <autoFilter ref="I11:J14" xr:uid="{FBD9B9FC-06D6-4FC1-B77A-682E5B2F7AD6}"/>
  <tableColumns count="2">
    <tableColumn id="1" xr3:uid="{DFED52CF-61E4-4A74-B0E5-89DF08CF6BC0}" uniqueName="1" name="Weekly" queryTableFieldId="1" dataDxfId="1"/>
    <tableColumn id="2" xr3:uid="{0BF6A84F-8F98-4524-8153-E509E6A51542}" uniqueName="2" name="market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AE26D-258F-427B-8D98-2DD110E58715}">
  <sheetPr codeName="Sheet1"/>
  <dimension ref="A1:K153"/>
  <sheetViews>
    <sheetView zoomScale="60" zoomScaleNormal="60" workbookViewId="0">
      <pane ySplit="1" topLeftCell="A2" activePane="bottomLeft" state="frozen"/>
      <selection pane="bottomLeft" activeCell="D2" sqref="D2"/>
    </sheetView>
  </sheetViews>
  <sheetFormatPr defaultRowHeight="28.5" x14ac:dyDescent="0.45"/>
  <cols>
    <col min="1" max="1" width="12.53125" bestFit="1" customWidth="1"/>
    <col min="2" max="2" width="7.9296875" bestFit="1" customWidth="1"/>
    <col min="3" max="3" width="11.86328125" bestFit="1" customWidth="1"/>
    <col min="4" max="4" width="9.265625" bestFit="1" customWidth="1"/>
    <col min="5" max="5" width="11.3984375" bestFit="1" customWidth="1"/>
    <col min="6" max="7" width="7.9296875" bestFit="1" customWidth="1"/>
    <col min="8" max="8" width="12.3984375" bestFit="1" customWidth="1"/>
    <col min="9" max="9" width="10.265625" bestFit="1" customWidth="1"/>
    <col min="10" max="10" width="12.86328125" bestFit="1" customWidth="1"/>
    <col min="11" max="11" width="7.9296875" bestFit="1" customWidth="1"/>
    <col min="14" max="14" width="9.1328125" customWidth="1"/>
  </cols>
  <sheetData>
    <row r="1" spans="1:11" x14ac:dyDescent="0.45">
      <c r="A1" t="s">
        <v>12</v>
      </c>
      <c r="B1" t="s">
        <v>0</v>
      </c>
      <c r="C1" t="s">
        <v>9</v>
      </c>
      <c r="D1" t="s">
        <v>10</v>
      </c>
      <c r="E1" t="s">
        <v>11</v>
      </c>
      <c r="F1" t="s">
        <v>1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</row>
    <row r="2" spans="1:11" x14ac:dyDescent="0.45">
      <c r="A2">
        <v>38000</v>
      </c>
      <c r="B2" s="3">
        <v>2193300</v>
      </c>
      <c r="C2" s="3">
        <v>686050</v>
      </c>
      <c r="D2" s="3">
        <v>11855800</v>
      </c>
      <c r="E2" s="3"/>
      <c r="F2" s="3">
        <v>13.1</v>
      </c>
      <c r="G2" s="3">
        <v>2116.9499999999998</v>
      </c>
      <c r="H2" s="3"/>
      <c r="I2" s="3">
        <v>30250</v>
      </c>
      <c r="J2" s="3">
        <v>-9550</v>
      </c>
      <c r="K2" s="3">
        <v>97825</v>
      </c>
    </row>
    <row r="3" spans="1:11" x14ac:dyDescent="0.45">
      <c r="A3">
        <v>36000</v>
      </c>
      <c r="B3" s="3">
        <v>1887800</v>
      </c>
      <c r="C3" s="3">
        <v>82075</v>
      </c>
      <c r="D3" s="3">
        <v>38059600</v>
      </c>
      <c r="E3" s="3"/>
      <c r="F3" s="3">
        <v>367.9</v>
      </c>
      <c r="G3" s="3">
        <v>464.45</v>
      </c>
      <c r="H3" s="3"/>
      <c r="I3" s="3">
        <v>4835375</v>
      </c>
      <c r="J3" s="3">
        <v>66550</v>
      </c>
      <c r="K3" s="3">
        <v>767975</v>
      </c>
    </row>
    <row r="4" spans="1:11" x14ac:dyDescent="0.45">
      <c r="A4">
        <v>37000</v>
      </c>
      <c r="B4" s="3">
        <v>1721675</v>
      </c>
      <c r="C4" s="3">
        <v>-101500</v>
      </c>
      <c r="D4" s="3">
        <v>20459675</v>
      </c>
      <c r="E4" s="3"/>
      <c r="F4" s="3">
        <v>69.55</v>
      </c>
      <c r="G4" s="3">
        <v>1170</v>
      </c>
      <c r="H4" s="3"/>
      <c r="I4" s="3">
        <v>264775</v>
      </c>
      <c r="J4" s="3">
        <v>-26250</v>
      </c>
      <c r="K4" s="3">
        <v>162075</v>
      </c>
    </row>
    <row r="5" spans="1:11" x14ac:dyDescent="0.45">
      <c r="A5">
        <v>36500</v>
      </c>
      <c r="B5" s="3">
        <v>1555575</v>
      </c>
      <c r="C5" s="3">
        <v>114825</v>
      </c>
      <c r="D5" s="3">
        <v>24554775</v>
      </c>
      <c r="E5" s="3"/>
      <c r="F5" s="3">
        <v>172.7</v>
      </c>
      <c r="G5" s="3">
        <v>765.05</v>
      </c>
      <c r="H5" s="3"/>
      <c r="I5" s="3">
        <v>398975</v>
      </c>
      <c r="J5" s="3">
        <v>-12450</v>
      </c>
      <c r="K5" s="3">
        <v>206950</v>
      </c>
    </row>
    <row r="6" spans="1:11" x14ac:dyDescent="0.45">
      <c r="A6">
        <v>38500</v>
      </c>
      <c r="B6" s="3">
        <v>1206875</v>
      </c>
      <c r="C6" s="3">
        <v>-387175</v>
      </c>
      <c r="D6" s="3">
        <v>7259500</v>
      </c>
      <c r="E6" s="3"/>
      <c r="F6" s="3">
        <v>6.25</v>
      </c>
      <c r="G6" s="3">
        <v>2610</v>
      </c>
      <c r="H6" s="3"/>
      <c r="I6" s="3">
        <v>1150</v>
      </c>
      <c r="J6" s="3">
        <v>-400</v>
      </c>
      <c r="K6" s="3">
        <v>36850</v>
      </c>
    </row>
    <row r="7" spans="1:11" x14ac:dyDescent="0.45">
      <c r="A7">
        <v>35500</v>
      </c>
      <c r="B7" s="3">
        <v>1189825</v>
      </c>
      <c r="C7" s="3">
        <v>7725</v>
      </c>
      <c r="D7" s="3">
        <v>37092375</v>
      </c>
      <c r="E7" s="3"/>
      <c r="F7" s="3">
        <v>657.55</v>
      </c>
      <c r="G7" s="3">
        <v>256.45</v>
      </c>
      <c r="H7" s="3"/>
      <c r="I7" s="3">
        <v>24307625</v>
      </c>
      <c r="J7" s="3">
        <v>300675</v>
      </c>
      <c r="K7" s="3">
        <v>1371075</v>
      </c>
    </row>
    <row r="8" spans="1:11" x14ac:dyDescent="0.45">
      <c r="A8">
        <v>37500</v>
      </c>
      <c r="B8" s="3">
        <v>1181200</v>
      </c>
      <c r="C8" s="3">
        <v>176975</v>
      </c>
      <c r="D8" s="3">
        <v>12486550</v>
      </c>
      <c r="E8" s="3"/>
      <c r="F8" s="3">
        <v>27.05</v>
      </c>
      <c r="G8" s="3">
        <v>1622.2</v>
      </c>
      <c r="H8" s="3"/>
      <c r="I8" s="3">
        <v>35100</v>
      </c>
      <c r="J8" s="3">
        <v>19350</v>
      </c>
      <c r="K8" s="3">
        <v>82200</v>
      </c>
    </row>
    <row r="9" spans="1:11" x14ac:dyDescent="0.45">
      <c r="A9">
        <v>40000</v>
      </c>
      <c r="B9" s="3">
        <v>1178650</v>
      </c>
      <c r="C9" s="3">
        <v>28975</v>
      </c>
      <c r="D9" s="3">
        <v>2825325</v>
      </c>
      <c r="E9" s="3"/>
      <c r="F9" s="3">
        <v>2.95</v>
      </c>
      <c r="G9" s="3">
        <v>4141</v>
      </c>
      <c r="H9" s="3"/>
      <c r="I9" s="3">
        <v>3275</v>
      </c>
      <c r="J9" s="3">
        <v>-100</v>
      </c>
      <c r="K9" s="3">
        <v>100950</v>
      </c>
    </row>
    <row r="10" spans="1:11" x14ac:dyDescent="0.45">
      <c r="A10">
        <v>39000</v>
      </c>
      <c r="B10" s="3">
        <v>1013550</v>
      </c>
      <c r="C10" s="3">
        <v>-46575</v>
      </c>
      <c r="D10" s="3">
        <v>5428425</v>
      </c>
      <c r="E10" s="3"/>
      <c r="F10" s="3">
        <v>4.05</v>
      </c>
      <c r="G10" s="3">
        <v>3118.8</v>
      </c>
      <c r="H10" s="3"/>
      <c r="I10" s="3">
        <v>5025</v>
      </c>
      <c r="J10" s="3">
        <v>-1325</v>
      </c>
      <c r="K10" s="3">
        <v>44400</v>
      </c>
    </row>
    <row r="11" spans="1:11" x14ac:dyDescent="0.45">
      <c r="A11">
        <v>48000</v>
      </c>
      <c r="B11" s="3">
        <v>609450</v>
      </c>
      <c r="C11" s="3">
        <v>164025</v>
      </c>
      <c r="D11" s="3">
        <v>3395225</v>
      </c>
      <c r="E11" s="3"/>
      <c r="F11" s="3">
        <v>1.05</v>
      </c>
      <c r="G11" s="3"/>
      <c r="H11" s="3"/>
      <c r="I11" s="3"/>
      <c r="J11" s="3"/>
      <c r="K11" s="3"/>
    </row>
    <row r="12" spans="1:11" x14ac:dyDescent="0.45">
      <c r="A12">
        <v>36200</v>
      </c>
      <c r="B12" s="3">
        <v>583775</v>
      </c>
      <c r="C12" s="3">
        <v>186150</v>
      </c>
      <c r="D12" s="3">
        <v>12275175</v>
      </c>
      <c r="E12" s="3"/>
      <c r="F12" s="3">
        <v>275</v>
      </c>
      <c r="G12" s="3">
        <v>565.65</v>
      </c>
      <c r="H12" s="3"/>
      <c r="I12" s="3">
        <v>259400</v>
      </c>
      <c r="J12" s="3">
        <v>15250</v>
      </c>
      <c r="K12" s="3">
        <v>67075</v>
      </c>
    </row>
    <row r="13" spans="1:11" x14ac:dyDescent="0.45">
      <c r="A13">
        <v>35700</v>
      </c>
      <c r="B13" s="3">
        <v>509425</v>
      </c>
      <c r="C13" s="3">
        <v>165125</v>
      </c>
      <c r="D13" s="3">
        <v>17938575</v>
      </c>
      <c r="E13" s="3"/>
      <c r="F13" s="3">
        <v>529</v>
      </c>
      <c r="G13" s="3">
        <v>326</v>
      </c>
      <c r="H13" s="3"/>
      <c r="I13" s="3">
        <v>7703825</v>
      </c>
      <c r="J13" s="3">
        <v>217275</v>
      </c>
      <c r="K13" s="3">
        <v>318125</v>
      </c>
    </row>
    <row r="14" spans="1:11" x14ac:dyDescent="0.45">
      <c r="A14">
        <v>37200</v>
      </c>
      <c r="B14" s="3">
        <v>508225</v>
      </c>
      <c r="C14" s="3">
        <v>242625</v>
      </c>
      <c r="D14" s="3">
        <v>5552725</v>
      </c>
      <c r="E14" s="3"/>
      <c r="F14" s="3">
        <v>49.4</v>
      </c>
      <c r="G14" s="3">
        <v>1352.05</v>
      </c>
      <c r="H14" s="3"/>
      <c r="I14" s="3">
        <v>9775</v>
      </c>
      <c r="J14" s="3">
        <v>-675</v>
      </c>
      <c r="K14" s="3">
        <v>3850</v>
      </c>
    </row>
    <row r="15" spans="1:11" x14ac:dyDescent="0.45">
      <c r="A15">
        <v>36800</v>
      </c>
      <c r="B15" s="3">
        <v>459575</v>
      </c>
      <c r="C15" s="3">
        <v>101850</v>
      </c>
      <c r="D15" s="3">
        <v>6806050</v>
      </c>
      <c r="E15" s="3"/>
      <c r="F15" s="3">
        <v>100.05</v>
      </c>
      <c r="G15" s="3">
        <v>995.15</v>
      </c>
      <c r="H15" s="3"/>
      <c r="I15" s="3">
        <v>9875</v>
      </c>
      <c r="J15" s="3">
        <v>-450</v>
      </c>
      <c r="K15" s="3">
        <v>13850</v>
      </c>
    </row>
    <row r="16" spans="1:11" x14ac:dyDescent="0.45">
      <c r="A16">
        <v>35800</v>
      </c>
      <c r="B16" s="3">
        <v>448675</v>
      </c>
      <c r="C16" s="3">
        <v>117050</v>
      </c>
      <c r="D16" s="3">
        <v>17422575</v>
      </c>
      <c r="E16" s="3"/>
      <c r="F16" s="3">
        <v>471.4</v>
      </c>
      <c r="G16" s="3">
        <v>361.2</v>
      </c>
      <c r="H16" s="3"/>
      <c r="I16" s="3">
        <v>4087925</v>
      </c>
      <c r="J16" s="3">
        <v>214275</v>
      </c>
      <c r="K16" s="3">
        <v>279850</v>
      </c>
    </row>
    <row r="17" spans="1:11" x14ac:dyDescent="0.45">
      <c r="A17">
        <v>35600</v>
      </c>
      <c r="B17" s="3">
        <v>448500</v>
      </c>
      <c r="C17" s="3">
        <v>25250</v>
      </c>
      <c r="D17" s="3">
        <v>19760800</v>
      </c>
      <c r="E17" s="3"/>
      <c r="F17" s="3">
        <v>587</v>
      </c>
      <c r="G17" s="3">
        <v>288.7</v>
      </c>
      <c r="H17" s="3"/>
      <c r="I17" s="3">
        <v>10617150</v>
      </c>
      <c r="J17" s="3">
        <v>134725</v>
      </c>
      <c r="K17" s="3">
        <v>305975</v>
      </c>
    </row>
    <row r="18" spans="1:11" x14ac:dyDescent="0.45">
      <c r="A18">
        <v>36700</v>
      </c>
      <c r="B18" s="3">
        <v>447125</v>
      </c>
      <c r="C18" s="3">
        <v>177100</v>
      </c>
      <c r="D18" s="3">
        <v>6406475</v>
      </c>
      <c r="E18" s="3"/>
      <c r="F18" s="3">
        <v>124.95</v>
      </c>
      <c r="G18" s="3">
        <v>916.55</v>
      </c>
      <c r="H18" s="3"/>
      <c r="I18" s="3">
        <v>14950</v>
      </c>
      <c r="J18" s="3">
        <v>-1000</v>
      </c>
      <c r="K18" s="3">
        <v>22625</v>
      </c>
    </row>
    <row r="19" spans="1:11" x14ac:dyDescent="0.45">
      <c r="A19">
        <v>39500</v>
      </c>
      <c r="B19" s="3">
        <v>388150</v>
      </c>
      <c r="C19" s="3">
        <v>-83675</v>
      </c>
      <c r="D19" s="3">
        <v>2272400</v>
      </c>
      <c r="E19" s="3"/>
      <c r="F19" s="3">
        <v>2.7</v>
      </c>
      <c r="G19" s="3">
        <v>3633.25</v>
      </c>
      <c r="H19" s="3"/>
      <c r="I19" s="3">
        <v>400</v>
      </c>
      <c r="J19" s="3">
        <v>-150</v>
      </c>
      <c r="K19" s="3">
        <v>12275</v>
      </c>
    </row>
    <row r="20" spans="1:11" x14ac:dyDescent="0.45">
      <c r="A20">
        <v>35000</v>
      </c>
      <c r="B20" s="3">
        <v>373150</v>
      </c>
      <c r="C20" s="3">
        <v>80450</v>
      </c>
      <c r="D20" s="3">
        <v>14053000</v>
      </c>
      <c r="E20" s="3"/>
      <c r="F20" s="3">
        <v>1035</v>
      </c>
      <c r="G20" s="3">
        <v>130.1</v>
      </c>
      <c r="H20" s="3"/>
      <c r="I20" s="3">
        <v>42463800</v>
      </c>
      <c r="J20" s="3">
        <v>533700</v>
      </c>
      <c r="K20" s="3">
        <v>1612500</v>
      </c>
    </row>
    <row r="21" spans="1:11" x14ac:dyDescent="0.45">
      <c r="A21">
        <v>35900</v>
      </c>
      <c r="B21" s="3">
        <v>367700</v>
      </c>
      <c r="C21" s="3">
        <v>130100</v>
      </c>
      <c r="D21" s="3">
        <v>11121625</v>
      </c>
      <c r="E21" s="3"/>
      <c r="F21" s="3">
        <v>420</v>
      </c>
      <c r="G21" s="3">
        <v>424.6</v>
      </c>
      <c r="H21" s="3"/>
      <c r="I21" s="3">
        <v>1456725</v>
      </c>
      <c r="J21" s="3">
        <v>46525</v>
      </c>
      <c r="K21" s="3">
        <v>94725</v>
      </c>
    </row>
    <row r="22" spans="1:11" x14ac:dyDescent="0.45">
      <c r="A22">
        <v>41000</v>
      </c>
      <c r="B22" s="3">
        <v>365950</v>
      </c>
      <c r="C22" s="3">
        <v>-5725</v>
      </c>
      <c r="D22" s="3">
        <v>1245725</v>
      </c>
      <c r="E22" s="3"/>
      <c r="F22" s="3">
        <v>1.6</v>
      </c>
      <c r="G22" s="3">
        <v>5304.75</v>
      </c>
      <c r="H22" s="3"/>
      <c r="I22" s="3">
        <v>625</v>
      </c>
      <c r="J22" s="3"/>
      <c r="K22" s="3">
        <v>16875</v>
      </c>
    </row>
    <row r="23" spans="1:11" x14ac:dyDescent="0.45">
      <c r="A23">
        <v>36600</v>
      </c>
      <c r="B23" s="3">
        <v>348400</v>
      </c>
      <c r="C23" s="3">
        <v>62825</v>
      </c>
      <c r="D23" s="3">
        <v>6140250</v>
      </c>
      <c r="E23" s="3"/>
      <c r="F23" s="3">
        <v>147.75</v>
      </c>
      <c r="G23" s="3">
        <v>845</v>
      </c>
      <c r="H23" s="3"/>
      <c r="I23" s="3">
        <v>28525</v>
      </c>
      <c r="J23" s="3">
        <v>-75</v>
      </c>
      <c r="K23" s="3">
        <v>22900</v>
      </c>
    </row>
    <row r="24" spans="1:11" x14ac:dyDescent="0.45">
      <c r="A24">
        <v>38200</v>
      </c>
      <c r="B24" s="3">
        <v>337125</v>
      </c>
      <c r="C24" s="3">
        <v>134125</v>
      </c>
      <c r="D24" s="3">
        <v>2061450</v>
      </c>
      <c r="E24" s="3"/>
      <c r="F24" s="3">
        <v>9.6</v>
      </c>
      <c r="G24" s="3">
        <v>2328.9499999999998</v>
      </c>
      <c r="H24" s="3"/>
      <c r="I24" s="3">
        <v>900</v>
      </c>
      <c r="J24" s="3">
        <v>25</v>
      </c>
      <c r="K24" s="3">
        <v>2450</v>
      </c>
    </row>
    <row r="25" spans="1:11" x14ac:dyDescent="0.45">
      <c r="A25">
        <v>36300</v>
      </c>
      <c r="B25" s="3">
        <v>317300</v>
      </c>
      <c r="C25" s="3">
        <v>26900</v>
      </c>
      <c r="D25" s="3">
        <v>8957375</v>
      </c>
      <c r="E25" s="3"/>
      <c r="F25" s="3">
        <v>240</v>
      </c>
      <c r="G25" s="3">
        <v>629.54999999999995</v>
      </c>
      <c r="H25" s="3"/>
      <c r="I25" s="3">
        <v>155575</v>
      </c>
      <c r="J25" s="3">
        <v>7550</v>
      </c>
      <c r="K25" s="3">
        <v>42450</v>
      </c>
    </row>
    <row r="26" spans="1:11" x14ac:dyDescent="0.45">
      <c r="A26">
        <v>36900</v>
      </c>
      <c r="B26" s="3">
        <v>314000</v>
      </c>
      <c r="C26" s="3">
        <v>132350</v>
      </c>
      <c r="D26" s="3">
        <v>4857450</v>
      </c>
      <c r="E26" s="3"/>
      <c r="F26" s="3">
        <v>84.75</v>
      </c>
      <c r="G26" s="3">
        <v>1085.05</v>
      </c>
      <c r="H26" s="3"/>
      <c r="I26" s="3">
        <v>7050</v>
      </c>
      <c r="J26" s="3">
        <v>-325</v>
      </c>
      <c r="K26" s="3">
        <v>8675</v>
      </c>
    </row>
    <row r="27" spans="1:11" x14ac:dyDescent="0.45">
      <c r="A27">
        <v>36400</v>
      </c>
      <c r="B27" s="3">
        <v>307925</v>
      </c>
      <c r="C27" s="3">
        <v>6925</v>
      </c>
      <c r="D27" s="3">
        <v>7742175</v>
      </c>
      <c r="E27" s="3"/>
      <c r="F27" s="3">
        <v>202.1</v>
      </c>
      <c r="G27" s="3">
        <v>694.2</v>
      </c>
      <c r="H27" s="3"/>
      <c r="I27" s="3">
        <v>102325</v>
      </c>
      <c r="J27" s="3">
        <v>4050</v>
      </c>
      <c r="K27" s="3">
        <v>36975</v>
      </c>
    </row>
    <row r="28" spans="1:11" x14ac:dyDescent="0.45">
      <c r="A28">
        <v>37700</v>
      </c>
      <c r="B28" s="3">
        <v>304100</v>
      </c>
      <c r="C28" s="3">
        <v>-29775</v>
      </c>
      <c r="D28" s="3">
        <v>3274100</v>
      </c>
      <c r="E28" s="3"/>
      <c r="F28" s="3">
        <v>21.4</v>
      </c>
      <c r="G28" s="3">
        <v>2014.2</v>
      </c>
      <c r="H28" s="3"/>
      <c r="I28" s="3">
        <v>275</v>
      </c>
      <c r="J28" s="3">
        <v>-100</v>
      </c>
      <c r="K28" s="3">
        <v>1500</v>
      </c>
    </row>
    <row r="29" spans="1:11" x14ac:dyDescent="0.45">
      <c r="A29">
        <v>42000</v>
      </c>
      <c r="B29" s="3">
        <v>291300</v>
      </c>
      <c r="C29" s="3">
        <v>-29650</v>
      </c>
      <c r="D29" s="3">
        <v>476125</v>
      </c>
      <c r="E29" s="3"/>
      <c r="F29" s="3">
        <v>1.45</v>
      </c>
      <c r="G29" s="3">
        <v>6131</v>
      </c>
      <c r="H29" s="3"/>
      <c r="I29" s="3">
        <v>1825</v>
      </c>
      <c r="J29" s="3">
        <v>-300</v>
      </c>
      <c r="K29" s="3">
        <v>99175</v>
      </c>
    </row>
    <row r="30" spans="1:11" x14ac:dyDescent="0.45">
      <c r="A30">
        <v>37300</v>
      </c>
      <c r="B30" s="3">
        <v>278700</v>
      </c>
      <c r="C30" s="3">
        <v>53375</v>
      </c>
      <c r="D30" s="3">
        <v>3549200</v>
      </c>
      <c r="E30" s="3"/>
      <c r="F30" s="3">
        <v>40</v>
      </c>
      <c r="G30" s="3">
        <v>1510.4</v>
      </c>
      <c r="H30" s="3"/>
      <c r="I30" s="3">
        <v>1075</v>
      </c>
      <c r="J30" s="3">
        <v>-100</v>
      </c>
      <c r="K30" s="3">
        <v>2950</v>
      </c>
    </row>
    <row r="31" spans="1:11" x14ac:dyDescent="0.45">
      <c r="A31">
        <v>37400</v>
      </c>
      <c r="B31" s="3">
        <v>278225</v>
      </c>
      <c r="C31" s="3">
        <v>78700</v>
      </c>
      <c r="D31" s="3">
        <v>3920250</v>
      </c>
      <c r="E31" s="3"/>
      <c r="F31" s="3">
        <v>32.25</v>
      </c>
      <c r="G31" s="3">
        <v>1530</v>
      </c>
      <c r="H31" s="3"/>
      <c r="I31" s="3">
        <v>875</v>
      </c>
      <c r="J31" s="3">
        <v>100</v>
      </c>
      <c r="K31" s="3">
        <v>2425</v>
      </c>
    </row>
    <row r="32" spans="1:11" x14ac:dyDescent="0.45">
      <c r="A32">
        <v>37800</v>
      </c>
      <c r="B32" s="3">
        <v>269600</v>
      </c>
      <c r="C32" s="3">
        <v>103350</v>
      </c>
      <c r="D32" s="3">
        <v>3003150</v>
      </c>
      <c r="E32" s="3"/>
      <c r="F32" s="3">
        <v>19.95</v>
      </c>
      <c r="G32" s="3">
        <v>1929.6</v>
      </c>
      <c r="H32" s="3"/>
      <c r="I32" s="3">
        <v>175</v>
      </c>
      <c r="J32" s="3">
        <v>-50</v>
      </c>
      <c r="K32" s="3">
        <v>1125</v>
      </c>
    </row>
    <row r="33" spans="1:11" x14ac:dyDescent="0.45">
      <c r="A33">
        <v>43000</v>
      </c>
      <c r="B33" s="3">
        <v>264000</v>
      </c>
      <c r="C33" s="3">
        <v>-24900</v>
      </c>
      <c r="D33" s="3">
        <v>580400</v>
      </c>
      <c r="E33" s="3"/>
      <c r="F33" s="3">
        <v>1.3</v>
      </c>
      <c r="G33" s="3">
        <v>7829.8</v>
      </c>
      <c r="H33" s="3"/>
      <c r="I33" s="3">
        <v>50</v>
      </c>
      <c r="J33" s="3">
        <v>-25</v>
      </c>
      <c r="K33" s="3">
        <v>2200</v>
      </c>
    </row>
    <row r="34" spans="1:11" x14ac:dyDescent="0.45">
      <c r="A34">
        <v>36100</v>
      </c>
      <c r="B34" s="3">
        <v>262075</v>
      </c>
      <c r="C34" s="3">
        <v>64125</v>
      </c>
      <c r="D34" s="3">
        <v>8419075</v>
      </c>
      <c r="E34" s="3"/>
      <c r="F34" s="3">
        <v>320</v>
      </c>
      <c r="G34" s="3">
        <v>521.20000000000005</v>
      </c>
      <c r="H34" s="3"/>
      <c r="I34" s="3">
        <v>317825</v>
      </c>
      <c r="J34" s="3">
        <v>21475</v>
      </c>
      <c r="K34" s="3">
        <v>50275</v>
      </c>
    </row>
    <row r="35" spans="1:11" x14ac:dyDescent="0.45">
      <c r="A35">
        <v>37100</v>
      </c>
      <c r="B35" s="3">
        <v>228650</v>
      </c>
      <c r="C35" s="3">
        <v>56650</v>
      </c>
      <c r="D35" s="3">
        <v>3784000</v>
      </c>
      <c r="E35" s="3"/>
      <c r="F35" s="3">
        <v>57.05</v>
      </c>
      <c r="G35" s="3">
        <v>1249.95</v>
      </c>
      <c r="H35" s="3"/>
      <c r="I35" s="3">
        <v>1050</v>
      </c>
      <c r="J35" s="3">
        <v>-300</v>
      </c>
      <c r="K35" s="3">
        <v>2975</v>
      </c>
    </row>
    <row r="36" spans="1:11" x14ac:dyDescent="0.45">
      <c r="A36">
        <v>37600</v>
      </c>
      <c r="B36" s="3">
        <v>225925</v>
      </c>
      <c r="C36" s="3">
        <v>65400</v>
      </c>
      <c r="D36" s="3">
        <v>2865500</v>
      </c>
      <c r="E36" s="3"/>
      <c r="F36" s="3">
        <v>22.75</v>
      </c>
      <c r="G36" s="3">
        <v>1760.95</v>
      </c>
      <c r="H36" s="3"/>
      <c r="I36" s="3">
        <v>700</v>
      </c>
      <c r="J36" s="3">
        <v>-250</v>
      </c>
      <c r="K36" s="3">
        <v>1575</v>
      </c>
    </row>
    <row r="37" spans="1:11" x14ac:dyDescent="0.45">
      <c r="A37">
        <v>35400</v>
      </c>
      <c r="B37" s="3">
        <v>203850</v>
      </c>
      <c r="C37" s="3">
        <v>-3625</v>
      </c>
      <c r="D37" s="3">
        <v>12141325</v>
      </c>
      <c r="E37" s="3"/>
      <c r="F37" s="3">
        <v>720.2</v>
      </c>
      <c r="G37" s="3">
        <v>221.5</v>
      </c>
      <c r="H37" s="3"/>
      <c r="I37" s="3">
        <v>11325500</v>
      </c>
      <c r="J37" s="3">
        <v>146350</v>
      </c>
      <c r="K37" s="3">
        <v>328175</v>
      </c>
    </row>
    <row r="38" spans="1:11" x14ac:dyDescent="0.45">
      <c r="A38">
        <v>40500</v>
      </c>
      <c r="B38" s="3">
        <v>195325</v>
      </c>
      <c r="C38" s="3">
        <v>-56550</v>
      </c>
      <c r="D38" s="3">
        <v>1197150</v>
      </c>
      <c r="E38" s="3"/>
      <c r="F38" s="3">
        <v>1.85</v>
      </c>
      <c r="G38" s="3">
        <v>5314.45</v>
      </c>
      <c r="H38" s="3"/>
      <c r="I38" s="3">
        <v>50</v>
      </c>
      <c r="J38" s="3"/>
      <c r="K38" s="3">
        <v>3825</v>
      </c>
    </row>
    <row r="39" spans="1:11" x14ac:dyDescent="0.45">
      <c r="A39">
        <v>42500</v>
      </c>
      <c r="B39" s="3">
        <v>190575</v>
      </c>
      <c r="C39" s="3">
        <v>2075</v>
      </c>
      <c r="D39" s="3">
        <v>287300</v>
      </c>
      <c r="E39" s="3"/>
      <c r="F39" s="3">
        <v>1.3</v>
      </c>
      <c r="G39" s="3">
        <v>7098.9</v>
      </c>
      <c r="H39" s="3"/>
      <c r="I39" s="3">
        <v>100</v>
      </c>
      <c r="J39" s="3">
        <v>-50</v>
      </c>
      <c r="K39" s="3">
        <v>5500</v>
      </c>
    </row>
    <row r="40" spans="1:11" x14ac:dyDescent="0.45">
      <c r="A40">
        <v>38100</v>
      </c>
      <c r="B40" s="3">
        <v>163800</v>
      </c>
      <c r="C40" s="3">
        <v>50425</v>
      </c>
      <c r="D40" s="3">
        <v>1516975</v>
      </c>
      <c r="E40" s="3"/>
      <c r="F40" s="3">
        <v>11.45</v>
      </c>
      <c r="G40" s="3">
        <v>2464.9</v>
      </c>
      <c r="H40" s="3"/>
      <c r="I40" s="3">
        <v>150</v>
      </c>
      <c r="J40" s="3"/>
      <c r="K40" s="3">
        <v>500</v>
      </c>
    </row>
    <row r="41" spans="1:11" x14ac:dyDescent="0.45">
      <c r="A41">
        <v>34000</v>
      </c>
      <c r="B41" s="3">
        <v>153225</v>
      </c>
      <c r="C41" s="3">
        <v>-2900</v>
      </c>
      <c r="D41" s="3">
        <v>303100</v>
      </c>
      <c r="E41" s="3"/>
      <c r="F41" s="3">
        <v>1933</v>
      </c>
      <c r="G41" s="3">
        <v>33</v>
      </c>
      <c r="H41" s="3"/>
      <c r="I41" s="3">
        <v>20350500</v>
      </c>
      <c r="J41" s="3">
        <v>289100</v>
      </c>
      <c r="K41" s="3">
        <v>1725625</v>
      </c>
    </row>
    <row r="42" spans="1:11" x14ac:dyDescent="0.45">
      <c r="A42">
        <v>43500</v>
      </c>
      <c r="B42" s="3">
        <v>138825</v>
      </c>
      <c r="C42" s="3">
        <v>10000</v>
      </c>
      <c r="D42" s="3">
        <v>571400</v>
      </c>
      <c r="E42" s="3"/>
      <c r="F42" s="3">
        <v>1.3</v>
      </c>
      <c r="G42" s="3">
        <v>8320.1</v>
      </c>
      <c r="H42" s="3"/>
      <c r="I42" s="3">
        <v>25</v>
      </c>
      <c r="J42" s="3"/>
      <c r="K42" s="3">
        <v>25</v>
      </c>
    </row>
    <row r="43" spans="1:11" x14ac:dyDescent="0.45">
      <c r="A43">
        <v>38300</v>
      </c>
      <c r="B43" s="3">
        <v>125600</v>
      </c>
      <c r="C43" s="3">
        <v>17750</v>
      </c>
      <c r="D43" s="3">
        <v>1382250</v>
      </c>
      <c r="E43" s="3"/>
      <c r="F43" s="3">
        <v>8.35</v>
      </c>
      <c r="G43" s="3">
        <v>2660.9</v>
      </c>
      <c r="H43" s="3"/>
      <c r="I43" s="3">
        <v>175</v>
      </c>
      <c r="J43" s="3">
        <v>-25</v>
      </c>
      <c r="K43" s="3">
        <v>2925</v>
      </c>
    </row>
    <row r="44" spans="1:11" x14ac:dyDescent="0.45">
      <c r="A44">
        <v>35300</v>
      </c>
      <c r="B44" s="3">
        <v>124350</v>
      </c>
      <c r="C44" s="3">
        <v>-50575</v>
      </c>
      <c r="D44" s="3">
        <v>13038350</v>
      </c>
      <c r="E44" s="3"/>
      <c r="F44" s="3">
        <v>800</v>
      </c>
      <c r="G44" s="3">
        <v>194.4</v>
      </c>
      <c r="H44" s="3"/>
      <c r="I44" s="3">
        <v>14568125</v>
      </c>
      <c r="J44" s="3">
        <v>72050</v>
      </c>
      <c r="K44" s="3">
        <v>345000</v>
      </c>
    </row>
    <row r="45" spans="1:11" x14ac:dyDescent="0.45">
      <c r="A45">
        <v>35200</v>
      </c>
      <c r="B45" s="3">
        <v>122200</v>
      </c>
      <c r="C45" s="3">
        <v>32375</v>
      </c>
      <c r="D45" s="3">
        <v>15069675</v>
      </c>
      <c r="E45" s="3"/>
      <c r="F45" s="3">
        <v>873</v>
      </c>
      <c r="G45" s="3">
        <v>176.55</v>
      </c>
      <c r="H45" s="3"/>
      <c r="I45" s="3">
        <v>18753725</v>
      </c>
      <c r="J45" s="3">
        <v>297125</v>
      </c>
      <c r="K45" s="3">
        <v>508575</v>
      </c>
    </row>
    <row r="46" spans="1:11" x14ac:dyDescent="0.45">
      <c r="A46">
        <v>37900</v>
      </c>
      <c r="B46" s="3">
        <v>114050</v>
      </c>
      <c r="C46" s="3">
        <v>23825</v>
      </c>
      <c r="D46" s="3">
        <v>1677950</v>
      </c>
      <c r="E46" s="3"/>
      <c r="F46" s="3">
        <v>14.55</v>
      </c>
      <c r="G46" s="3">
        <v>2090</v>
      </c>
      <c r="H46" s="3"/>
      <c r="I46" s="3">
        <v>175</v>
      </c>
      <c r="J46" s="3">
        <v>-25</v>
      </c>
      <c r="K46" s="3">
        <v>750</v>
      </c>
    </row>
    <row r="47" spans="1:11" x14ac:dyDescent="0.45">
      <c r="A47">
        <v>45000</v>
      </c>
      <c r="B47" s="3">
        <v>110175</v>
      </c>
      <c r="C47" s="3">
        <v>-54700</v>
      </c>
      <c r="D47" s="3">
        <v>588925</v>
      </c>
      <c r="E47" s="3"/>
      <c r="F47" s="3">
        <v>1.25</v>
      </c>
      <c r="G47" s="3">
        <v>9070</v>
      </c>
      <c r="H47" s="3"/>
      <c r="I47" s="3">
        <v>200</v>
      </c>
      <c r="J47" s="3">
        <v>-25</v>
      </c>
      <c r="K47" s="3">
        <v>2125</v>
      </c>
    </row>
    <row r="48" spans="1:11" x14ac:dyDescent="0.45">
      <c r="A48">
        <v>35100</v>
      </c>
      <c r="B48" s="3">
        <v>105400</v>
      </c>
      <c r="C48" s="3">
        <v>66250</v>
      </c>
      <c r="D48" s="3">
        <v>12024025</v>
      </c>
      <c r="E48" s="3"/>
      <c r="F48" s="3">
        <v>948.2</v>
      </c>
      <c r="G48" s="3">
        <v>150</v>
      </c>
      <c r="H48" s="3"/>
      <c r="I48" s="3">
        <v>18555775</v>
      </c>
      <c r="J48" s="3">
        <v>266450</v>
      </c>
      <c r="K48" s="3">
        <v>380175</v>
      </c>
    </row>
    <row r="49" spans="1:11" x14ac:dyDescent="0.45">
      <c r="A49">
        <v>34500</v>
      </c>
      <c r="B49" s="3">
        <v>92350</v>
      </c>
      <c r="C49" s="3">
        <v>17075</v>
      </c>
      <c r="D49" s="3">
        <v>700725</v>
      </c>
      <c r="E49" s="3"/>
      <c r="F49" s="3">
        <v>1474.75</v>
      </c>
      <c r="G49" s="3">
        <v>66.650000000000006</v>
      </c>
      <c r="H49" s="3"/>
      <c r="I49" s="3">
        <v>21278125</v>
      </c>
      <c r="J49" s="3">
        <v>250025</v>
      </c>
      <c r="K49" s="3">
        <v>1111600</v>
      </c>
    </row>
    <row r="50" spans="1:11" x14ac:dyDescent="0.45">
      <c r="A50">
        <v>38600</v>
      </c>
      <c r="B50" s="3">
        <v>89325</v>
      </c>
      <c r="C50" s="3">
        <v>3600</v>
      </c>
      <c r="D50" s="3">
        <v>841375</v>
      </c>
      <c r="E50" s="3"/>
      <c r="F50" s="3">
        <v>6.4</v>
      </c>
      <c r="G50" s="3">
        <v>3004.25</v>
      </c>
      <c r="H50" s="3"/>
      <c r="I50" s="3">
        <v>50</v>
      </c>
      <c r="J50" s="3">
        <v>-25</v>
      </c>
      <c r="K50" s="3">
        <v>1150</v>
      </c>
    </row>
    <row r="51" spans="1:11" x14ac:dyDescent="0.45">
      <c r="A51">
        <v>38400</v>
      </c>
      <c r="B51" s="3">
        <v>84425</v>
      </c>
      <c r="C51" s="3">
        <v>18225</v>
      </c>
      <c r="D51" s="3">
        <v>1001825</v>
      </c>
      <c r="E51" s="3"/>
      <c r="F51" s="3">
        <v>7.95</v>
      </c>
      <c r="G51" s="3">
        <v>2598.3000000000002</v>
      </c>
      <c r="H51" s="3"/>
      <c r="I51" s="3">
        <v>50</v>
      </c>
      <c r="J51" s="3"/>
      <c r="K51" s="3">
        <v>1100</v>
      </c>
    </row>
    <row r="52" spans="1:11" x14ac:dyDescent="0.45">
      <c r="A52">
        <v>38800</v>
      </c>
      <c r="B52" s="3">
        <v>83325</v>
      </c>
      <c r="C52" s="3">
        <v>-24750</v>
      </c>
      <c r="D52" s="3">
        <v>667475</v>
      </c>
      <c r="E52" s="3"/>
      <c r="F52" s="3">
        <v>5</v>
      </c>
      <c r="G52" s="3">
        <v>3664.6</v>
      </c>
      <c r="H52" s="3"/>
      <c r="I52" s="3">
        <v>50</v>
      </c>
      <c r="J52" s="3"/>
      <c r="K52" s="3">
        <v>1275</v>
      </c>
    </row>
    <row r="53" spans="1:11" x14ac:dyDescent="0.45">
      <c r="A53">
        <v>33000</v>
      </c>
      <c r="B53" s="3">
        <v>77225</v>
      </c>
      <c r="C53" s="3">
        <v>-600</v>
      </c>
      <c r="D53" s="3">
        <v>13275</v>
      </c>
      <c r="E53" s="3"/>
      <c r="F53" s="3">
        <v>2883.2</v>
      </c>
      <c r="G53" s="3">
        <v>9.65</v>
      </c>
      <c r="H53" s="3"/>
      <c r="I53" s="3">
        <v>9611125</v>
      </c>
      <c r="J53" s="3">
        <v>263625</v>
      </c>
      <c r="K53" s="3">
        <v>1324075</v>
      </c>
    </row>
    <row r="54" spans="1:11" x14ac:dyDescent="0.45">
      <c r="A54">
        <v>38700</v>
      </c>
      <c r="B54" s="3">
        <v>62900</v>
      </c>
      <c r="C54" s="3">
        <v>-84850</v>
      </c>
      <c r="D54" s="3">
        <v>692225</v>
      </c>
      <c r="E54" s="3"/>
      <c r="F54" s="3">
        <v>5.55</v>
      </c>
      <c r="G54" s="3">
        <v>3530.4</v>
      </c>
      <c r="H54" s="3"/>
      <c r="I54" s="3">
        <v>25</v>
      </c>
      <c r="J54" s="3"/>
      <c r="K54" s="3">
        <v>900</v>
      </c>
    </row>
    <row r="55" spans="1:11" x14ac:dyDescent="0.45">
      <c r="A55">
        <v>39200</v>
      </c>
      <c r="B55" s="3">
        <v>59550</v>
      </c>
      <c r="C55" s="3">
        <v>-8425</v>
      </c>
      <c r="D55" s="3">
        <v>322500</v>
      </c>
      <c r="E55" s="3"/>
      <c r="F55" s="3">
        <v>3.75</v>
      </c>
      <c r="G55" s="3">
        <v>3944</v>
      </c>
      <c r="H55" s="3"/>
      <c r="I55" s="3">
        <v>50</v>
      </c>
      <c r="J55" s="3"/>
      <c r="K55" s="3">
        <v>1675</v>
      </c>
    </row>
    <row r="56" spans="1:11" x14ac:dyDescent="0.45">
      <c r="A56">
        <v>33500</v>
      </c>
      <c r="B56" s="3">
        <v>57650</v>
      </c>
      <c r="C56" s="3">
        <v>-5325</v>
      </c>
      <c r="D56" s="3">
        <v>31425</v>
      </c>
      <c r="E56" s="3"/>
      <c r="F56" s="3">
        <v>2417.5</v>
      </c>
      <c r="G56" s="3">
        <v>15.1</v>
      </c>
      <c r="H56" s="3"/>
      <c r="I56" s="3">
        <v>10269725</v>
      </c>
      <c r="J56" s="3">
        <v>324975</v>
      </c>
      <c r="K56" s="3">
        <v>1118300</v>
      </c>
    </row>
    <row r="57" spans="1:11" x14ac:dyDescent="0.45">
      <c r="A57">
        <v>32500</v>
      </c>
      <c r="B57" s="3">
        <v>56500</v>
      </c>
      <c r="C57" s="3">
        <v>-250</v>
      </c>
      <c r="D57" s="3">
        <v>4500</v>
      </c>
      <c r="E57" s="3"/>
      <c r="F57" s="3">
        <v>3390.3</v>
      </c>
      <c r="G57" s="3">
        <v>6.6</v>
      </c>
      <c r="H57" s="3"/>
      <c r="I57" s="3">
        <v>5403475</v>
      </c>
      <c r="J57" s="3">
        <v>87575</v>
      </c>
      <c r="K57" s="3">
        <v>576900</v>
      </c>
    </row>
    <row r="58" spans="1:11" x14ac:dyDescent="0.45">
      <c r="A58">
        <v>41500</v>
      </c>
      <c r="B58" s="3">
        <v>55725</v>
      </c>
      <c r="C58" s="3">
        <v>-20150</v>
      </c>
      <c r="D58" s="3">
        <v>174975</v>
      </c>
      <c r="E58" s="3"/>
      <c r="F58" s="3">
        <v>1.7</v>
      </c>
      <c r="G58" s="3">
        <v>5769.25</v>
      </c>
      <c r="H58" s="3"/>
      <c r="I58" s="3">
        <v>100</v>
      </c>
      <c r="J58" s="3"/>
      <c r="K58" s="3">
        <v>1600</v>
      </c>
    </row>
    <row r="59" spans="1:11" x14ac:dyDescent="0.45">
      <c r="A59">
        <v>46500</v>
      </c>
      <c r="B59" s="3">
        <v>54125</v>
      </c>
      <c r="C59" s="3">
        <v>-3350</v>
      </c>
      <c r="D59" s="3">
        <v>478800</v>
      </c>
      <c r="E59" s="3"/>
      <c r="F59" s="3">
        <v>1.25</v>
      </c>
      <c r="G59" s="3">
        <v>9722.7000000000007</v>
      </c>
      <c r="H59" s="3"/>
      <c r="I59" s="3"/>
      <c r="J59" s="3"/>
      <c r="K59" s="3">
        <v>25</v>
      </c>
    </row>
    <row r="60" spans="1:11" x14ac:dyDescent="0.45">
      <c r="A60">
        <v>38900</v>
      </c>
      <c r="B60" s="3">
        <v>53250</v>
      </c>
      <c r="C60" s="3">
        <v>-1025</v>
      </c>
      <c r="D60" s="3">
        <v>408800</v>
      </c>
      <c r="E60" s="3"/>
      <c r="F60" s="3">
        <v>4.5</v>
      </c>
      <c r="G60" s="3">
        <v>3178.55</v>
      </c>
      <c r="H60" s="3"/>
      <c r="I60" s="3">
        <v>75</v>
      </c>
      <c r="J60" s="3">
        <v>-25</v>
      </c>
      <c r="K60" s="3">
        <v>700</v>
      </c>
    </row>
    <row r="61" spans="1:11" x14ac:dyDescent="0.45">
      <c r="A61">
        <v>39600</v>
      </c>
      <c r="B61" s="3">
        <v>50750</v>
      </c>
      <c r="C61" s="3">
        <v>20900</v>
      </c>
      <c r="D61" s="3">
        <v>139450</v>
      </c>
      <c r="E61" s="3"/>
      <c r="F61" s="3">
        <v>2.6</v>
      </c>
      <c r="G61" s="3">
        <v>3570</v>
      </c>
      <c r="H61" s="3"/>
      <c r="I61" s="3"/>
      <c r="J61" s="3"/>
      <c r="K61" s="3">
        <v>125</v>
      </c>
    </row>
    <row r="62" spans="1:11" x14ac:dyDescent="0.45">
      <c r="A62">
        <v>39100</v>
      </c>
      <c r="B62" s="3">
        <v>43950</v>
      </c>
      <c r="C62" s="3">
        <v>-17475</v>
      </c>
      <c r="D62" s="3">
        <v>280300</v>
      </c>
      <c r="E62" s="3"/>
      <c r="F62" s="3">
        <v>3.25</v>
      </c>
      <c r="G62" s="3">
        <v>2746.6</v>
      </c>
      <c r="H62" s="3"/>
      <c r="I62" s="3"/>
      <c r="J62" s="3"/>
      <c r="K62" s="3">
        <v>2</v>
      </c>
    </row>
    <row r="63" spans="1:11" x14ac:dyDescent="0.45">
      <c r="A63">
        <v>39400</v>
      </c>
      <c r="B63" s="3">
        <v>42950</v>
      </c>
      <c r="C63" s="3">
        <v>-10100</v>
      </c>
      <c r="D63" s="3">
        <v>213875</v>
      </c>
      <c r="E63" s="3"/>
      <c r="F63" s="3">
        <v>2.8</v>
      </c>
      <c r="G63" s="3">
        <v>4000</v>
      </c>
      <c r="H63" s="3"/>
      <c r="I63" s="3">
        <v>225</v>
      </c>
      <c r="J63" s="3"/>
      <c r="K63" s="3">
        <v>1325</v>
      </c>
    </row>
    <row r="64" spans="1:11" x14ac:dyDescent="0.45">
      <c r="A64">
        <v>43200</v>
      </c>
      <c r="B64" s="3">
        <v>38175</v>
      </c>
      <c r="C64" s="3">
        <v>34900</v>
      </c>
      <c r="D64" s="3">
        <v>53200</v>
      </c>
      <c r="E64" s="3"/>
      <c r="F64" s="3">
        <v>1.35</v>
      </c>
      <c r="G64" s="3"/>
      <c r="H64" s="3"/>
      <c r="I64" s="3"/>
      <c r="J64" s="3"/>
      <c r="K64" s="3"/>
    </row>
    <row r="65" spans="1:11" x14ac:dyDescent="0.45">
      <c r="A65">
        <v>34800</v>
      </c>
      <c r="B65" s="3">
        <v>30725</v>
      </c>
      <c r="C65" s="3">
        <v>-18050</v>
      </c>
      <c r="D65" s="3">
        <v>994750</v>
      </c>
      <c r="E65" s="3"/>
      <c r="F65" s="3">
        <v>1204.7</v>
      </c>
      <c r="G65" s="3">
        <v>105</v>
      </c>
      <c r="H65" s="3"/>
      <c r="I65" s="3">
        <v>13768475</v>
      </c>
      <c r="J65" s="3">
        <v>263575</v>
      </c>
      <c r="K65" s="3">
        <v>464500</v>
      </c>
    </row>
    <row r="66" spans="1:11" x14ac:dyDescent="0.45">
      <c r="A66">
        <v>34900</v>
      </c>
      <c r="B66" s="3">
        <v>30400</v>
      </c>
      <c r="C66" s="3">
        <v>7775</v>
      </c>
      <c r="D66" s="3">
        <v>1386325</v>
      </c>
      <c r="E66" s="3"/>
      <c r="F66" s="3">
        <v>1117.8</v>
      </c>
      <c r="G66" s="3">
        <v>125</v>
      </c>
      <c r="H66" s="3"/>
      <c r="I66" s="3">
        <v>10079000</v>
      </c>
      <c r="J66" s="3">
        <v>199625</v>
      </c>
      <c r="K66" s="3">
        <v>302450</v>
      </c>
    </row>
    <row r="67" spans="1:11" x14ac:dyDescent="0.45">
      <c r="A67">
        <v>39300</v>
      </c>
      <c r="B67" s="3">
        <v>30100</v>
      </c>
      <c r="C67" s="3">
        <v>-7425</v>
      </c>
      <c r="D67" s="3">
        <v>182100</v>
      </c>
      <c r="E67" s="3"/>
      <c r="F67" s="3">
        <v>2.7</v>
      </c>
      <c r="G67" s="3">
        <v>2751.9</v>
      </c>
      <c r="H67" s="3"/>
      <c r="I67" s="3"/>
      <c r="J67" s="3"/>
      <c r="K67" s="3">
        <v>1</v>
      </c>
    </row>
    <row r="68" spans="1:11" x14ac:dyDescent="0.45">
      <c r="A68">
        <v>39800</v>
      </c>
      <c r="B68" s="3">
        <v>24850</v>
      </c>
      <c r="C68" s="3">
        <v>-3375</v>
      </c>
      <c r="D68" s="3">
        <v>80150</v>
      </c>
      <c r="E68" s="3"/>
      <c r="F68" s="3">
        <v>2.2999999999999998</v>
      </c>
      <c r="G68" s="3">
        <v>4386.8500000000004</v>
      </c>
      <c r="H68" s="3"/>
      <c r="I68" s="3">
        <v>25</v>
      </c>
      <c r="J68" s="3"/>
      <c r="K68" s="3">
        <v>1875</v>
      </c>
    </row>
    <row r="69" spans="1:11" x14ac:dyDescent="0.45">
      <c r="A69">
        <v>32000</v>
      </c>
      <c r="B69" s="3">
        <v>23325</v>
      </c>
      <c r="C69" s="3">
        <v>-350</v>
      </c>
      <c r="D69" s="3">
        <v>3375</v>
      </c>
      <c r="E69" s="3"/>
      <c r="F69" s="3">
        <v>3880</v>
      </c>
      <c r="G69" s="3">
        <v>5.0999999999999996</v>
      </c>
      <c r="H69" s="3"/>
      <c r="I69" s="3">
        <v>4815875</v>
      </c>
      <c r="J69" s="3">
        <v>215200</v>
      </c>
      <c r="K69" s="3">
        <v>1022725</v>
      </c>
    </row>
    <row r="70" spans="1:11" x14ac:dyDescent="0.45">
      <c r="A70">
        <v>34700</v>
      </c>
      <c r="B70" s="3">
        <v>20475</v>
      </c>
      <c r="C70" s="3">
        <v>8475</v>
      </c>
      <c r="D70" s="3">
        <v>390250</v>
      </c>
      <c r="E70" s="3"/>
      <c r="F70" s="3">
        <v>1290.55</v>
      </c>
      <c r="G70" s="3">
        <v>84.85</v>
      </c>
      <c r="H70" s="3"/>
      <c r="I70" s="3">
        <v>7765075</v>
      </c>
      <c r="J70" s="3">
        <v>91450</v>
      </c>
      <c r="K70" s="3">
        <v>246325</v>
      </c>
    </row>
    <row r="71" spans="1:11" x14ac:dyDescent="0.45">
      <c r="A71">
        <v>30000</v>
      </c>
      <c r="B71" s="3">
        <v>20200</v>
      </c>
      <c r="C71" s="3">
        <v>-325</v>
      </c>
      <c r="D71" s="3">
        <v>1150</v>
      </c>
      <c r="E71" s="3"/>
      <c r="F71" s="3">
        <v>5896.55</v>
      </c>
      <c r="G71" s="3">
        <v>2.4</v>
      </c>
      <c r="H71" s="3"/>
      <c r="I71" s="3">
        <v>921675</v>
      </c>
      <c r="J71" s="3">
        <v>-28325</v>
      </c>
      <c r="K71" s="3">
        <v>431125</v>
      </c>
    </row>
    <row r="72" spans="1:11" x14ac:dyDescent="0.45">
      <c r="A72">
        <v>43300</v>
      </c>
      <c r="B72" s="3">
        <v>18925</v>
      </c>
      <c r="C72" s="3">
        <v>1425</v>
      </c>
      <c r="D72" s="3">
        <v>266325</v>
      </c>
      <c r="E72" s="3"/>
      <c r="F72" s="3">
        <v>1.3</v>
      </c>
      <c r="G72" s="3"/>
      <c r="H72" s="3"/>
      <c r="I72" s="3"/>
      <c r="J72" s="3"/>
      <c r="K72" s="3"/>
    </row>
    <row r="73" spans="1:11" x14ac:dyDescent="0.45">
      <c r="A73">
        <v>39700</v>
      </c>
      <c r="B73" s="3">
        <v>18825</v>
      </c>
      <c r="C73" s="3">
        <v>6800</v>
      </c>
      <c r="D73" s="3">
        <v>78125</v>
      </c>
      <c r="E73" s="3"/>
      <c r="F73" s="3">
        <v>3.2</v>
      </c>
      <c r="G73" s="3">
        <v>3335.3</v>
      </c>
      <c r="H73" s="3"/>
      <c r="I73" s="3"/>
      <c r="J73" s="3"/>
      <c r="K73" s="3">
        <v>1</v>
      </c>
    </row>
    <row r="74" spans="1:11" x14ac:dyDescent="0.45">
      <c r="A74">
        <v>34600</v>
      </c>
      <c r="B74" s="3">
        <v>12625</v>
      </c>
      <c r="C74" s="3">
        <v>3300</v>
      </c>
      <c r="D74" s="3">
        <v>141800</v>
      </c>
      <c r="E74" s="3"/>
      <c r="F74" s="3">
        <v>1379.05</v>
      </c>
      <c r="G74" s="3">
        <v>74.650000000000006</v>
      </c>
      <c r="H74" s="3"/>
      <c r="I74" s="3">
        <v>6067575</v>
      </c>
      <c r="J74" s="3">
        <v>70200</v>
      </c>
      <c r="K74" s="3">
        <v>177075</v>
      </c>
    </row>
    <row r="75" spans="1:11" x14ac:dyDescent="0.45">
      <c r="A75">
        <v>39900</v>
      </c>
      <c r="B75" s="3">
        <v>11850</v>
      </c>
      <c r="C75" s="3">
        <v>-4450</v>
      </c>
      <c r="D75" s="3">
        <v>42850</v>
      </c>
      <c r="E75" s="3"/>
      <c r="F75" s="3">
        <v>2.85</v>
      </c>
      <c r="G75" s="3">
        <v>3488.4</v>
      </c>
      <c r="H75" s="3"/>
      <c r="I75" s="3"/>
      <c r="J75" s="3"/>
      <c r="K75" s="3">
        <v>100</v>
      </c>
    </row>
    <row r="76" spans="1:11" x14ac:dyDescent="0.45">
      <c r="A76">
        <v>42100</v>
      </c>
      <c r="B76" s="3">
        <v>10150</v>
      </c>
      <c r="C76" s="3">
        <v>-325</v>
      </c>
      <c r="D76" s="3">
        <v>7875</v>
      </c>
      <c r="E76" s="3"/>
      <c r="F76" s="3">
        <v>1.55</v>
      </c>
      <c r="G76" s="3">
        <v>4939.7</v>
      </c>
      <c r="H76" s="3"/>
      <c r="I76" s="3"/>
      <c r="J76" s="3"/>
      <c r="K76" s="3">
        <v>25</v>
      </c>
    </row>
    <row r="77" spans="1:11" x14ac:dyDescent="0.45">
      <c r="A77">
        <v>40200</v>
      </c>
      <c r="B77" s="3">
        <v>8775</v>
      </c>
      <c r="C77" s="3">
        <v>-400</v>
      </c>
      <c r="D77" s="3">
        <v>30650</v>
      </c>
      <c r="E77" s="3"/>
      <c r="F77" s="3">
        <v>2.4</v>
      </c>
      <c r="G77" s="3">
        <v>3736</v>
      </c>
      <c r="H77" s="3"/>
      <c r="I77" s="3"/>
      <c r="J77" s="3"/>
      <c r="K77" s="3">
        <v>75</v>
      </c>
    </row>
    <row r="78" spans="1:11" x14ac:dyDescent="0.45">
      <c r="A78">
        <v>33600</v>
      </c>
      <c r="B78" s="3">
        <v>7525</v>
      </c>
      <c r="C78" s="3">
        <v>-125</v>
      </c>
      <c r="D78" s="3">
        <v>1200</v>
      </c>
      <c r="E78" s="3"/>
      <c r="F78" s="3">
        <v>2305.5</v>
      </c>
      <c r="G78" s="3">
        <v>18</v>
      </c>
      <c r="H78" s="3"/>
      <c r="I78" s="3">
        <v>2668350</v>
      </c>
      <c r="J78" s="3">
        <v>46300</v>
      </c>
      <c r="K78" s="3">
        <v>129575</v>
      </c>
    </row>
    <row r="79" spans="1:11" x14ac:dyDescent="0.45">
      <c r="A79">
        <v>33300</v>
      </c>
      <c r="B79" s="3">
        <v>7500</v>
      </c>
      <c r="C79" s="3">
        <v>-100</v>
      </c>
      <c r="D79" s="3">
        <v>425</v>
      </c>
      <c r="E79" s="3"/>
      <c r="F79" s="3">
        <v>2430.15</v>
      </c>
      <c r="G79" s="3">
        <v>14</v>
      </c>
      <c r="H79" s="3"/>
      <c r="I79" s="3">
        <v>2254175</v>
      </c>
      <c r="J79" s="3">
        <v>66600</v>
      </c>
      <c r="K79" s="3">
        <v>157600</v>
      </c>
    </row>
    <row r="80" spans="1:11" x14ac:dyDescent="0.45">
      <c r="A80">
        <v>42400</v>
      </c>
      <c r="B80" s="3">
        <v>6950</v>
      </c>
      <c r="C80" s="3">
        <v>-1950</v>
      </c>
      <c r="D80" s="3">
        <v>9350</v>
      </c>
      <c r="E80" s="3"/>
      <c r="F80" s="3">
        <v>1.4</v>
      </c>
      <c r="G80" s="3">
        <v>4748.5</v>
      </c>
      <c r="H80" s="3"/>
      <c r="I80" s="3"/>
      <c r="J80" s="3"/>
      <c r="K80" s="3">
        <v>25</v>
      </c>
    </row>
    <row r="81" spans="1:11" x14ac:dyDescent="0.45">
      <c r="A81">
        <v>42600</v>
      </c>
      <c r="B81" s="3">
        <v>6550</v>
      </c>
      <c r="C81" s="3">
        <v>-3025</v>
      </c>
      <c r="D81" s="3">
        <v>10250</v>
      </c>
      <c r="E81" s="3"/>
      <c r="F81" s="3">
        <v>1.5</v>
      </c>
      <c r="G81" s="3"/>
      <c r="H81" s="3"/>
      <c r="I81" s="3"/>
      <c r="J81" s="3"/>
      <c r="K81" s="3"/>
    </row>
    <row r="82" spans="1:11" x14ac:dyDescent="0.45">
      <c r="A82">
        <v>31000</v>
      </c>
      <c r="B82" s="3">
        <v>6475</v>
      </c>
      <c r="C82" s="3">
        <v>-25</v>
      </c>
      <c r="D82" s="3">
        <v>200</v>
      </c>
      <c r="E82" s="3"/>
      <c r="F82" s="3">
        <v>4797.7</v>
      </c>
      <c r="G82" s="3">
        <v>3.6</v>
      </c>
      <c r="H82" s="3"/>
      <c r="I82" s="3">
        <v>1658725</v>
      </c>
      <c r="J82" s="3">
        <v>-15300</v>
      </c>
      <c r="K82" s="3">
        <v>278250</v>
      </c>
    </row>
    <row r="83" spans="1:11" x14ac:dyDescent="0.45">
      <c r="A83">
        <v>34400</v>
      </c>
      <c r="B83" s="3">
        <v>6300</v>
      </c>
      <c r="C83" s="3">
        <v>450</v>
      </c>
      <c r="D83" s="3">
        <v>18025</v>
      </c>
      <c r="E83" s="3"/>
      <c r="F83" s="3">
        <v>1553.1</v>
      </c>
      <c r="G83" s="3">
        <v>55.6</v>
      </c>
      <c r="H83" s="3"/>
      <c r="I83" s="3">
        <v>5739750</v>
      </c>
      <c r="J83" s="3">
        <v>74350</v>
      </c>
      <c r="K83" s="3">
        <v>201925</v>
      </c>
    </row>
    <row r="84" spans="1:11" x14ac:dyDescent="0.45">
      <c r="A84">
        <v>40600</v>
      </c>
      <c r="B84" s="3">
        <v>5975</v>
      </c>
      <c r="C84" s="3">
        <v>-775</v>
      </c>
      <c r="D84" s="3">
        <v>10175</v>
      </c>
      <c r="E84" s="3"/>
      <c r="F84" s="3">
        <v>2</v>
      </c>
      <c r="G84" s="3">
        <v>5556.4</v>
      </c>
      <c r="H84" s="3"/>
      <c r="I84" s="3"/>
      <c r="J84" s="3"/>
      <c r="K84" s="3">
        <v>25</v>
      </c>
    </row>
    <row r="85" spans="1:11" x14ac:dyDescent="0.45">
      <c r="A85">
        <v>32800</v>
      </c>
      <c r="B85" s="3">
        <v>5925</v>
      </c>
      <c r="C85" s="3"/>
      <c r="D85" s="3">
        <v>125</v>
      </c>
      <c r="E85" s="3"/>
      <c r="F85" s="3">
        <v>2388.5500000000002</v>
      </c>
      <c r="G85" s="3">
        <v>7.65</v>
      </c>
      <c r="H85" s="3"/>
      <c r="I85" s="3">
        <v>1685125</v>
      </c>
      <c r="J85" s="3">
        <v>58050</v>
      </c>
      <c r="K85" s="3">
        <v>172150</v>
      </c>
    </row>
    <row r="86" spans="1:11" x14ac:dyDescent="0.45">
      <c r="A86">
        <v>34300</v>
      </c>
      <c r="B86" s="3">
        <v>5775</v>
      </c>
      <c r="C86" s="3">
        <v>1100</v>
      </c>
      <c r="D86" s="3">
        <v>19975</v>
      </c>
      <c r="E86" s="3"/>
      <c r="F86" s="3">
        <v>1647.3</v>
      </c>
      <c r="G86" s="3">
        <v>47.8</v>
      </c>
      <c r="H86" s="3"/>
      <c r="I86" s="3">
        <v>4921625</v>
      </c>
      <c r="J86" s="3">
        <v>53500</v>
      </c>
      <c r="K86" s="3">
        <v>228875</v>
      </c>
    </row>
    <row r="87" spans="1:11" x14ac:dyDescent="0.45">
      <c r="A87">
        <v>40100</v>
      </c>
      <c r="B87" s="3">
        <v>5700</v>
      </c>
      <c r="C87" s="3">
        <v>-1225</v>
      </c>
      <c r="D87" s="3">
        <v>19525</v>
      </c>
      <c r="E87" s="3"/>
      <c r="F87" s="3">
        <v>2.5499999999999998</v>
      </c>
      <c r="G87" s="3">
        <v>3643.2</v>
      </c>
      <c r="H87" s="3"/>
      <c r="I87" s="3"/>
      <c r="J87" s="3"/>
      <c r="K87" s="3">
        <v>125</v>
      </c>
    </row>
    <row r="88" spans="1:11" x14ac:dyDescent="0.45">
      <c r="A88">
        <v>43100</v>
      </c>
      <c r="B88" s="3">
        <v>5650</v>
      </c>
      <c r="C88" s="3">
        <v>-800</v>
      </c>
      <c r="D88" s="3">
        <v>17025</v>
      </c>
      <c r="E88" s="3"/>
      <c r="F88" s="3">
        <v>1.35</v>
      </c>
      <c r="G88" s="3"/>
      <c r="H88" s="3"/>
      <c r="I88" s="3"/>
      <c r="J88" s="3"/>
      <c r="K88" s="3"/>
    </row>
    <row r="89" spans="1:11" x14ac:dyDescent="0.45">
      <c r="A89">
        <v>33800</v>
      </c>
      <c r="B89" s="3">
        <v>5300</v>
      </c>
      <c r="C89" s="3">
        <v>1375</v>
      </c>
      <c r="D89" s="3">
        <v>28700</v>
      </c>
      <c r="E89" s="3"/>
      <c r="F89" s="3">
        <v>2128</v>
      </c>
      <c r="G89" s="3">
        <v>24.45</v>
      </c>
      <c r="H89" s="3"/>
      <c r="I89" s="3">
        <v>4631325</v>
      </c>
      <c r="J89" s="3">
        <v>191975</v>
      </c>
      <c r="K89" s="3">
        <v>301950</v>
      </c>
    </row>
    <row r="90" spans="1:11" x14ac:dyDescent="0.45">
      <c r="A90">
        <v>40900</v>
      </c>
      <c r="B90" s="3">
        <v>5275</v>
      </c>
      <c r="C90" s="3">
        <v>1425</v>
      </c>
      <c r="D90" s="3">
        <v>12925</v>
      </c>
      <c r="E90" s="3"/>
      <c r="F90" s="3">
        <v>2.15</v>
      </c>
      <c r="G90" s="3">
        <v>3119.6</v>
      </c>
      <c r="H90" s="3"/>
      <c r="I90" s="3"/>
      <c r="J90" s="3"/>
      <c r="K90" s="3">
        <v>25</v>
      </c>
    </row>
    <row r="91" spans="1:11" x14ac:dyDescent="0.45">
      <c r="A91">
        <v>40400</v>
      </c>
      <c r="B91" s="3">
        <v>4950</v>
      </c>
      <c r="C91" s="3">
        <v>825</v>
      </c>
      <c r="D91" s="3">
        <v>14550</v>
      </c>
      <c r="E91" s="3"/>
      <c r="F91" s="3">
        <v>2.15</v>
      </c>
      <c r="G91" s="3">
        <v>4412.3500000000004</v>
      </c>
      <c r="H91" s="3"/>
      <c r="I91" s="3"/>
      <c r="J91" s="3"/>
      <c r="K91" s="3">
        <v>150</v>
      </c>
    </row>
    <row r="92" spans="1:11" x14ac:dyDescent="0.45">
      <c r="A92">
        <v>32900</v>
      </c>
      <c r="B92" s="3">
        <v>4950</v>
      </c>
      <c r="C92" s="3">
        <v>-50</v>
      </c>
      <c r="D92" s="3">
        <v>275</v>
      </c>
      <c r="E92" s="3"/>
      <c r="F92" s="3">
        <v>2347.9</v>
      </c>
      <c r="G92" s="3">
        <v>9.15</v>
      </c>
      <c r="H92" s="3"/>
      <c r="I92" s="3">
        <v>1642275</v>
      </c>
      <c r="J92" s="3">
        <v>-6900</v>
      </c>
      <c r="K92" s="3">
        <v>106525</v>
      </c>
    </row>
    <row r="93" spans="1:11" x14ac:dyDescent="0.45">
      <c r="A93">
        <v>32700</v>
      </c>
      <c r="B93" s="3">
        <v>4925</v>
      </c>
      <c r="C93" s="3">
        <v>-25</v>
      </c>
      <c r="D93" s="3">
        <v>300</v>
      </c>
      <c r="E93" s="3"/>
      <c r="F93" s="3">
        <v>3149.3</v>
      </c>
      <c r="G93" s="3">
        <v>7.95</v>
      </c>
      <c r="H93" s="3"/>
      <c r="I93" s="3">
        <v>1654225</v>
      </c>
      <c r="J93" s="3">
        <v>54125</v>
      </c>
      <c r="K93" s="3">
        <v>116125</v>
      </c>
    </row>
    <row r="94" spans="1:11" x14ac:dyDescent="0.45">
      <c r="A94">
        <v>31500</v>
      </c>
      <c r="B94" s="3">
        <v>4850</v>
      </c>
      <c r="C94" s="3">
        <v>-75</v>
      </c>
      <c r="D94" s="3">
        <v>275</v>
      </c>
      <c r="E94" s="3"/>
      <c r="F94" s="3">
        <v>4240.6499999999996</v>
      </c>
      <c r="G94" s="3">
        <v>4.3</v>
      </c>
      <c r="H94" s="3"/>
      <c r="I94" s="3">
        <v>2044200</v>
      </c>
      <c r="J94" s="3">
        <v>-185675</v>
      </c>
      <c r="K94" s="3">
        <v>320025</v>
      </c>
    </row>
    <row r="95" spans="1:11" x14ac:dyDescent="0.45">
      <c r="A95">
        <v>42800</v>
      </c>
      <c r="B95" s="3">
        <v>4750</v>
      </c>
      <c r="C95" s="3">
        <v>575</v>
      </c>
      <c r="D95" s="3">
        <v>18100</v>
      </c>
      <c r="E95" s="3"/>
      <c r="F95" s="3">
        <v>1.45</v>
      </c>
      <c r="G95" s="3"/>
      <c r="H95" s="3"/>
      <c r="I95" s="3"/>
      <c r="J95" s="3">
        <v>3</v>
      </c>
      <c r="K95" s="3"/>
    </row>
    <row r="96" spans="1:11" x14ac:dyDescent="0.45">
      <c r="A96">
        <v>33400</v>
      </c>
      <c r="B96" s="3">
        <v>4675</v>
      </c>
      <c r="C96" s="3">
        <v>150</v>
      </c>
      <c r="D96" s="3">
        <v>2675</v>
      </c>
      <c r="E96" s="3"/>
      <c r="F96" s="3">
        <v>2454.35</v>
      </c>
      <c r="G96" s="3">
        <v>12</v>
      </c>
      <c r="H96" s="3"/>
      <c r="I96" s="3">
        <v>2333275</v>
      </c>
      <c r="J96" s="3">
        <v>112350</v>
      </c>
      <c r="K96" s="3">
        <v>165125</v>
      </c>
    </row>
    <row r="97" spans="1:11" x14ac:dyDescent="0.45">
      <c r="A97">
        <v>42900</v>
      </c>
      <c r="B97" s="3">
        <v>4500</v>
      </c>
      <c r="C97" s="3"/>
      <c r="D97" s="3">
        <v>15625</v>
      </c>
      <c r="E97" s="3"/>
      <c r="F97" s="3">
        <v>1.6</v>
      </c>
      <c r="G97" s="3"/>
      <c r="H97" s="3"/>
      <c r="I97" s="3"/>
      <c r="J97" s="3">
        <v>3</v>
      </c>
      <c r="K97" s="3"/>
    </row>
    <row r="98" spans="1:11" x14ac:dyDescent="0.45">
      <c r="A98">
        <v>41100</v>
      </c>
      <c r="B98" s="3">
        <v>4250</v>
      </c>
      <c r="C98" s="3">
        <v>300</v>
      </c>
      <c r="D98" s="3">
        <v>4300</v>
      </c>
      <c r="E98" s="3"/>
      <c r="F98" s="3">
        <v>1.9</v>
      </c>
      <c r="G98" s="3"/>
      <c r="H98" s="3"/>
      <c r="I98" s="3"/>
      <c r="J98" s="3"/>
      <c r="K98" s="3"/>
    </row>
    <row r="99" spans="1:11" x14ac:dyDescent="0.45">
      <c r="A99">
        <v>34200</v>
      </c>
      <c r="B99" s="3">
        <v>3850</v>
      </c>
      <c r="C99" s="3">
        <v>475</v>
      </c>
      <c r="D99" s="3">
        <v>11150</v>
      </c>
      <c r="E99" s="3"/>
      <c r="F99" s="3">
        <v>1732.05</v>
      </c>
      <c r="G99" s="3">
        <v>43.5</v>
      </c>
      <c r="H99" s="3"/>
      <c r="I99" s="3">
        <v>5909725</v>
      </c>
      <c r="J99" s="3">
        <v>236100</v>
      </c>
      <c r="K99" s="3">
        <v>350350</v>
      </c>
    </row>
    <row r="100" spans="1:11" x14ac:dyDescent="0.45">
      <c r="A100">
        <v>40300</v>
      </c>
      <c r="B100" s="3">
        <v>3825</v>
      </c>
      <c r="C100" s="3">
        <v>-250</v>
      </c>
      <c r="D100" s="3">
        <v>13050</v>
      </c>
      <c r="E100" s="3"/>
      <c r="F100" s="3">
        <v>2.2999999999999998</v>
      </c>
      <c r="G100" s="3">
        <v>3973.55</v>
      </c>
      <c r="H100" s="3"/>
      <c r="I100" s="3"/>
      <c r="J100" s="3"/>
      <c r="K100" s="3">
        <v>775</v>
      </c>
    </row>
    <row r="101" spans="1:11" x14ac:dyDescent="0.45">
      <c r="A101">
        <v>40800</v>
      </c>
      <c r="B101" s="3">
        <v>3800</v>
      </c>
      <c r="C101" s="3">
        <v>250</v>
      </c>
      <c r="D101" s="3">
        <v>6400</v>
      </c>
      <c r="E101" s="3"/>
      <c r="F101" s="3">
        <v>2.1</v>
      </c>
      <c r="G101" s="3">
        <v>5245.25</v>
      </c>
      <c r="H101" s="3"/>
      <c r="I101" s="3"/>
      <c r="J101" s="3"/>
      <c r="K101" s="3">
        <v>50</v>
      </c>
    </row>
    <row r="102" spans="1:11" x14ac:dyDescent="0.45">
      <c r="A102">
        <v>32600</v>
      </c>
      <c r="B102" s="3">
        <v>3500</v>
      </c>
      <c r="C102" s="3"/>
      <c r="D102" s="3">
        <v>175</v>
      </c>
      <c r="E102" s="3"/>
      <c r="F102" s="3">
        <v>3130.1</v>
      </c>
      <c r="G102" s="3">
        <v>7.45</v>
      </c>
      <c r="H102" s="3"/>
      <c r="I102" s="3">
        <v>1215700</v>
      </c>
      <c r="J102" s="3">
        <v>30300</v>
      </c>
      <c r="K102" s="3">
        <v>83275</v>
      </c>
    </row>
    <row r="103" spans="1:11" x14ac:dyDescent="0.45">
      <c r="A103">
        <v>41800</v>
      </c>
      <c r="B103" s="3">
        <v>3225</v>
      </c>
      <c r="C103" s="3">
        <v>-450</v>
      </c>
      <c r="D103" s="3">
        <v>6675</v>
      </c>
      <c r="E103" s="3"/>
      <c r="F103" s="3">
        <v>1.75</v>
      </c>
      <c r="G103" s="3">
        <v>4185.05</v>
      </c>
      <c r="H103" s="3"/>
      <c r="I103" s="3"/>
      <c r="J103" s="3"/>
      <c r="K103" s="3">
        <v>25</v>
      </c>
    </row>
    <row r="104" spans="1:11" x14ac:dyDescent="0.45">
      <c r="A104">
        <v>41400</v>
      </c>
      <c r="B104" s="3">
        <v>3200</v>
      </c>
      <c r="C104" s="3">
        <v>-250</v>
      </c>
      <c r="D104" s="3">
        <v>3275</v>
      </c>
      <c r="E104" s="3"/>
      <c r="F104" s="3">
        <v>1.8</v>
      </c>
      <c r="G104" s="3"/>
      <c r="H104" s="3"/>
      <c r="I104" s="3"/>
      <c r="J104" s="3"/>
      <c r="K104" s="3"/>
    </row>
    <row r="105" spans="1:11" x14ac:dyDescent="0.45">
      <c r="A105">
        <v>33100</v>
      </c>
      <c r="B105" s="3">
        <v>3075</v>
      </c>
      <c r="C105" s="3">
        <v>700</v>
      </c>
      <c r="D105" s="3">
        <v>1450</v>
      </c>
      <c r="E105" s="3"/>
      <c r="F105" s="3">
        <v>2744</v>
      </c>
      <c r="G105" s="3">
        <v>11</v>
      </c>
      <c r="H105" s="3"/>
      <c r="I105" s="3">
        <v>1813825</v>
      </c>
      <c r="J105" s="3">
        <v>28075</v>
      </c>
      <c r="K105" s="3">
        <v>96175</v>
      </c>
    </row>
    <row r="106" spans="1:11" x14ac:dyDescent="0.45">
      <c r="A106">
        <v>33700</v>
      </c>
      <c r="B106" s="3">
        <v>2975</v>
      </c>
      <c r="C106" s="3">
        <v>125</v>
      </c>
      <c r="D106" s="3">
        <v>1000</v>
      </c>
      <c r="E106" s="3"/>
      <c r="F106" s="3">
        <v>2032.85</v>
      </c>
      <c r="G106" s="3">
        <v>21.9</v>
      </c>
      <c r="H106" s="3"/>
      <c r="I106" s="3">
        <v>3273950</v>
      </c>
      <c r="J106" s="3">
        <v>70175</v>
      </c>
      <c r="K106" s="3">
        <v>193425</v>
      </c>
    </row>
    <row r="107" spans="1:11" x14ac:dyDescent="0.45">
      <c r="A107">
        <v>33200</v>
      </c>
      <c r="B107" s="3">
        <v>2775</v>
      </c>
      <c r="C107" s="3"/>
      <c r="D107" s="3">
        <v>100</v>
      </c>
      <c r="E107" s="3"/>
      <c r="F107" s="3">
        <v>2246.15</v>
      </c>
      <c r="G107" s="3">
        <v>11</v>
      </c>
      <c r="H107" s="3"/>
      <c r="I107" s="3">
        <v>2258575</v>
      </c>
      <c r="J107" s="3">
        <v>40225</v>
      </c>
      <c r="K107" s="3">
        <v>134850</v>
      </c>
    </row>
    <row r="108" spans="1:11" x14ac:dyDescent="0.45">
      <c r="A108">
        <v>41700</v>
      </c>
      <c r="B108" s="3">
        <v>2625</v>
      </c>
      <c r="C108" s="3">
        <v>-500</v>
      </c>
      <c r="D108" s="3">
        <v>7900</v>
      </c>
      <c r="E108" s="3"/>
      <c r="F108" s="3">
        <v>1.75</v>
      </c>
      <c r="G108" s="3"/>
      <c r="H108" s="3"/>
      <c r="I108" s="3"/>
      <c r="J108" s="3"/>
      <c r="K108" s="3"/>
    </row>
    <row r="109" spans="1:11" x14ac:dyDescent="0.45">
      <c r="A109">
        <v>42200</v>
      </c>
      <c r="B109" s="3">
        <v>2625</v>
      </c>
      <c r="C109" s="3">
        <v>350</v>
      </c>
      <c r="D109" s="3">
        <v>3600</v>
      </c>
      <c r="E109" s="3"/>
      <c r="F109" s="3">
        <v>1.45</v>
      </c>
      <c r="G109" s="3">
        <v>4576.8</v>
      </c>
      <c r="H109" s="3"/>
      <c r="I109" s="3"/>
      <c r="J109" s="3"/>
      <c r="K109" s="3">
        <v>75</v>
      </c>
    </row>
    <row r="110" spans="1:11" x14ac:dyDescent="0.45">
      <c r="A110">
        <v>41300</v>
      </c>
      <c r="B110" s="3">
        <v>2550</v>
      </c>
      <c r="C110" s="3">
        <v>625</v>
      </c>
      <c r="D110" s="3">
        <v>2925</v>
      </c>
      <c r="E110" s="3"/>
      <c r="F110" s="3">
        <v>1.75</v>
      </c>
      <c r="G110" s="3"/>
      <c r="H110" s="3"/>
      <c r="I110" s="3"/>
      <c r="J110" s="3"/>
      <c r="K110" s="3"/>
    </row>
    <row r="111" spans="1:11" x14ac:dyDescent="0.45">
      <c r="A111">
        <v>34100</v>
      </c>
      <c r="B111" s="3">
        <v>2450</v>
      </c>
      <c r="C111" s="3">
        <v>-300</v>
      </c>
      <c r="D111" s="3">
        <v>4450</v>
      </c>
      <c r="E111" s="3"/>
      <c r="F111" s="3">
        <v>1837.35</v>
      </c>
      <c r="G111" s="3">
        <v>36.549999999999997</v>
      </c>
      <c r="H111" s="3"/>
      <c r="I111" s="3">
        <v>3784050</v>
      </c>
      <c r="J111" s="3">
        <v>84000</v>
      </c>
      <c r="K111" s="3">
        <v>160925</v>
      </c>
    </row>
    <row r="112" spans="1:11" x14ac:dyDescent="0.45">
      <c r="A112">
        <v>40700</v>
      </c>
      <c r="B112" s="3">
        <v>2350</v>
      </c>
      <c r="C112" s="3">
        <v>-675</v>
      </c>
      <c r="D112" s="3">
        <v>8875</v>
      </c>
      <c r="E112" s="3"/>
      <c r="F112" s="3">
        <v>2.2000000000000002</v>
      </c>
      <c r="G112" s="3">
        <v>2956.4</v>
      </c>
      <c r="H112" s="3"/>
      <c r="I112" s="3"/>
      <c r="J112" s="3"/>
      <c r="K112" s="3">
        <v>50</v>
      </c>
    </row>
    <row r="113" spans="1:11" x14ac:dyDescent="0.45">
      <c r="A113">
        <v>41600</v>
      </c>
      <c r="B113" s="3">
        <v>2325</v>
      </c>
      <c r="C113" s="3">
        <v>-25</v>
      </c>
      <c r="D113" s="3">
        <v>3875</v>
      </c>
      <c r="E113" s="3"/>
      <c r="F113" s="3">
        <v>1.75</v>
      </c>
      <c r="G113" s="3"/>
      <c r="H113" s="3"/>
      <c r="I113" s="3"/>
      <c r="J113" s="3"/>
      <c r="K113" s="3"/>
    </row>
    <row r="114" spans="1:11" x14ac:dyDescent="0.45">
      <c r="A114">
        <v>41200</v>
      </c>
      <c r="B114" s="3">
        <v>2250</v>
      </c>
      <c r="C114" s="3">
        <v>-650</v>
      </c>
      <c r="D114" s="3">
        <v>7050</v>
      </c>
      <c r="E114" s="3"/>
      <c r="F114" s="3">
        <v>1.8</v>
      </c>
      <c r="G114" s="3">
        <v>5262.35</v>
      </c>
      <c r="H114" s="3"/>
      <c r="I114" s="3"/>
      <c r="J114" s="3"/>
      <c r="K114" s="3">
        <v>50</v>
      </c>
    </row>
    <row r="115" spans="1:11" x14ac:dyDescent="0.45">
      <c r="A115">
        <v>32200</v>
      </c>
      <c r="B115" s="3">
        <v>2050</v>
      </c>
      <c r="C115" s="3">
        <v>-25</v>
      </c>
      <c r="D115" s="3">
        <v>425</v>
      </c>
      <c r="E115" s="3"/>
      <c r="F115" s="3">
        <v>3516.05</v>
      </c>
      <c r="G115" s="3">
        <v>5</v>
      </c>
      <c r="H115" s="3"/>
      <c r="I115" s="3">
        <v>702375</v>
      </c>
      <c r="J115" s="3">
        <v>22350</v>
      </c>
      <c r="K115" s="3">
        <v>55375</v>
      </c>
    </row>
    <row r="116" spans="1:11" x14ac:dyDescent="0.45">
      <c r="A116">
        <v>33900</v>
      </c>
      <c r="B116" s="3">
        <v>1950</v>
      </c>
      <c r="C116" s="3">
        <v>75</v>
      </c>
      <c r="D116" s="3">
        <v>1875</v>
      </c>
      <c r="E116" s="3"/>
      <c r="F116" s="3">
        <v>1984.15</v>
      </c>
      <c r="G116" s="3">
        <v>27.1</v>
      </c>
      <c r="H116" s="3"/>
      <c r="I116" s="3">
        <v>3464300</v>
      </c>
      <c r="J116" s="3">
        <v>136175</v>
      </c>
      <c r="K116" s="3">
        <v>186025</v>
      </c>
    </row>
    <row r="117" spans="1:11" x14ac:dyDescent="0.45">
      <c r="A117">
        <v>42700</v>
      </c>
      <c r="B117" s="3">
        <v>1800</v>
      </c>
      <c r="C117" s="3">
        <v>-150</v>
      </c>
      <c r="D117" s="3">
        <v>6850</v>
      </c>
      <c r="E117" s="3"/>
      <c r="F117" s="3">
        <v>1.8</v>
      </c>
      <c r="G117" s="3"/>
      <c r="H117" s="3"/>
      <c r="I117" s="3"/>
      <c r="J117" s="3"/>
      <c r="K117" s="3"/>
    </row>
    <row r="118" spans="1:11" x14ac:dyDescent="0.45">
      <c r="A118">
        <v>42300</v>
      </c>
      <c r="B118" s="3">
        <v>1650</v>
      </c>
      <c r="C118" s="3">
        <v>-575</v>
      </c>
      <c r="D118" s="3">
        <v>7150</v>
      </c>
      <c r="E118" s="3"/>
      <c r="F118" s="3">
        <v>1.75</v>
      </c>
      <c r="G118" s="3">
        <v>5801.55</v>
      </c>
      <c r="H118" s="3"/>
      <c r="I118" s="3"/>
      <c r="J118" s="3"/>
      <c r="K118" s="3">
        <v>75</v>
      </c>
    </row>
    <row r="119" spans="1:11" x14ac:dyDescent="0.45">
      <c r="A119">
        <v>27000</v>
      </c>
      <c r="B119" s="3">
        <v>1600</v>
      </c>
      <c r="C119" s="3">
        <v>275</v>
      </c>
      <c r="D119" s="3">
        <v>650</v>
      </c>
      <c r="E119" s="3"/>
      <c r="F119" s="3">
        <v>8781.35</v>
      </c>
      <c r="G119" s="3">
        <v>1.8</v>
      </c>
      <c r="H119" s="3"/>
      <c r="I119" s="3">
        <v>1376850</v>
      </c>
      <c r="J119" s="3">
        <v>27625</v>
      </c>
      <c r="K119" s="3">
        <v>305775</v>
      </c>
    </row>
    <row r="120" spans="1:11" x14ac:dyDescent="0.45">
      <c r="A120">
        <v>32300</v>
      </c>
      <c r="B120" s="3">
        <v>1350</v>
      </c>
      <c r="C120" s="3"/>
      <c r="D120" s="3">
        <v>50</v>
      </c>
      <c r="E120" s="3"/>
      <c r="F120" s="3">
        <v>2942</v>
      </c>
      <c r="G120" s="3">
        <v>6.05</v>
      </c>
      <c r="H120" s="3"/>
      <c r="I120" s="3">
        <v>933500</v>
      </c>
      <c r="J120" s="3">
        <v>10850</v>
      </c>
      <c r="K120" s="3">
        <v>52300</v>
      </c>
    </row>
    <row r="121" spans="1:11" x14ac:dyDescent="0.45">
      <c r="A121">
        <v>32100</v>
      </c>
      <c r="B121" s="3">
        <v>1125</v>
      </c>
      <c r="C121" s="3"/>
      <c r="D121" s="3">
        <v>25</v>
      </c>
      <c r="E121" s="3"/>
      <c r="F121" s="3">
        <v>3063.9</v>
      </c>
      <c r="G121" s="3">
        <v>5.65</v>
      </c>
      <c r="H121" s="3"/>
      <c r="I121" s="3">
        <v>752775</v>
      </c>
      <c r="J121" s="3">
        <v>23350</v>
      </c>
      <c r="K121" s="3">
        <v>49550</v>
      </c>
    </row>
    <row r="122" spans="1:11" x14ac:dyDescent="0.45">
      <c r="A122">
        <v>41900</v>
      </c>
      <c r="B122" s="3">
        <v>925</v>
      </c>
      <c r="C122" s="3">
        <v>-400</v>
      </c>
      <c r="D122" s="3">
        <v>2325</v>
      </c>
      <c r="E122" s="3"/>
      <c r="F122" s="3">
        <v>1.75</v>
      </c>
      <c r="G122" s="3">
        <v>4040.8</v>
      </c>
      <c r="H122" s="3"/>
      <c r="I122" s="3"/>
      <c r="J122" s="3"/>
      <c r="K122" s="3">
        <v>25</v>
      </c>
    </row>
    <row r="123" spans="1:11" x14ac:dyDescent="0.45">
      <c r="A123">
        <v>31100</v>
      </c>
      <c r="B123" s="3">
        <v>825</v>
      </c>
      <c r="C123" s="3"/>
      <c r="D123" s="3"/>
      <c r="E123" s="3"/>
      <c r="F123" s="3">
        <v>5158.1000000000004</v>
      </c>
      <c r="G123" s="3">
        <v>3.65</v>
      </c>
      <c r="H123" s="3"/>
      <c r="I123" s="3">
        <v>131475</v>
      </c>
      <c r="J123" s="3">
        <v>4150</v>
      </c>
      <c r="K123" s="3">
        <v>21650</v>
      </c>
    </row>
    <row r="124" spans="1:11" x14ac:dyDescent="0.45">
      <c r="A124">
        <v>31700</v>
      </c>
      <c r="B124" s="3">
        <v>800</v>
      </c>
      <c r="C124" s="3"/>
      <c r="D124" s="3"/>
      <c r="E124" s="3"/>
      <c r="F124" s="3">
        <v>3677.7</v>
      </c>
      <c r="G124" s="3">
        <v>4</v>
      </c>
      <c r="H124" s="3"/>
      <c r="I124" s="3">
        <v>306225</v>
      </c>
      <c r="J124" s="3">
        <v>-14975</v>
      </c>
      <c r="K124" s="3">
        <v>37650</v>
      </c>
    </row>
    <row r="125" spans="1:11" x14ac:dyDescent="0.45">
      <c r="A125">
        <v>28500</v>
      </c>
      <c r="B125" s="3">
        <v>350</v>
      </c>
      <c r="C125" s="3"/>
      <c r="D125" s="3"/>
      <c r="E125" s="3"/>
      <c r="F125" s="3">
        <v>7474.95</v>
      </c>
      <c r="G125" s="3">
        <v>2.2999999999999998</v>
      </c>
      <c r="H125" s="3"/>
      <c r="I125" s="3">
        <v>333550</v>
      </c>
      <c r="J125" s="3">
        <v>-6225</v>
      </c>
      <c r="K125" s="3">
        <v>144125</v>
      </c>
    </row>
    <row r="126" spans="1:11" x14ac:dyDescent="0.45">
      <c r="A126">
        <v>30500</v>
      </c>
      <c r="B126" s="3">
        <v>225</v>
      </c>
      <c r="C126" s="3"/>
      <c r="D126" s="3">
        <v>75</v>
      </c>
      <c r="E126" s="3"/>
      <c r="F126" s="3">
        <v>4800</v>
      </c>
      <c r="G126" s="3">
        <v>2.85</v>
      </c>
      <c r="H126" s="3"/>
      <c r="I126" s="3">
        <v>851850</v>
      </c>
      <c r="J126" s="3">
        <v>-29700</v>
      </c>
      <c r="K126" s="3">
        <v>115750</v>
      </c>
    </row>
    <row r="127" spans="1:11" x14ac:dyDescent="0.45">
      <c r="A127">
        <v>28900</v>
      </c>
      <c r="B127" s="3">
        <v>200</v>
      </c>
      <c r="C127" s="3"/>
      <c r="D127" s="3"/>
      <c r="E127" s="3"/>
      <c r="F127" s="3">
        <v>6570</v>
      </c>
      <c r="G127" s="3">
        <v>2.2999999999999998</v>
      </c>
      <c r="H127" s="3"/>
      <c r="I127" s="3">
        <v>206900</v>
      </c>
      <c r="J127" s="3">
        <v>500</v>
      </c>
      <c r="K127" s="3">
        <v>8050</v>
      </c>
    </row>
    <row r="128" spans="1:11" x14ac:dyDescent="0.45">
      <c r="A128">
        <v>30700</v>
      </c>
      <c r="B128" s="3">
        <v>150</v>
      </c>
      <c r="C128" s="3"/>
      <c r="D128" s="3"/>
      <c r="E128" s="3"/>
      <c r="F128" s="3">
        <v>5515</v>
      </c>
      <c r="G128" s="3">
        <v>3.05</v>
      </c>
      <c r="H128" s="3"/>
      <c r="I128" s="3">
        <v>31600</v>
      </c>
      <c r="J128" s="3">
        <v>300</v>
      </c>
      <c r="K128" s="3">
        <v>3500</v>
      </c>
    </row>
    <row r="129" spans="1:11" x14ac:dyDescent="0.45">
      <c r="A129">
        <v>31800</v>
      </c>
      <c r="B129" s="3">
        <v>125</v>
      </c>
      <c r="C129" s="3"/>
      <c r="D129" s="3">
        <v>25</v>
      </c>
      <c r="E129" s="3"/>
      <c r="F129" s="3">
        <v>3607.2</v>
      </c>
      <c r="G129" s="3">
        <v>4.45</v>
      </c>
      <c r="H129" s="3"/>
      <c r="I129" s="3">
        <v>409675</v>
      </c>
      <c r="J129" s="3">
        <v>-6700</v>
      </c>
      <c r="K129" s="3">
        <v>53275</v>
      </c>
    </row>
    <row r="130" spans="1:11" x14ac:dyDescent="0.45">
      <c r="A130">
        <v>31400</v>
      </c>
      <c r="B130" s="3">
        <v>75</v>
      </c>
      <c r="C130" s="3"/>
      <c r="D130" s="3"/>
      <c r="E130" s="3"/>
      <c r="F130" s="3">
        <v>3902</v>
      </c>
      <c r="G130" s="3">
        <v>3.95</v>
      </c>
      <c r="H130" s="3"/>
      <c r="I130" s="3">
        <v>225100</v>
      </c>
      <c r="J130" s="3">
        <v>4400</v>
      </c>
      <c r="K130" s="3">
        <v>20050</v>
      </c>
    </row>
    <row r="131" spans="1:11" x14ac:dyDescent="0.45">
      <c r="A131">
        <v>29500</v>
      </c>
      <c r="B131" s="3">
        <v>50</v>
      </c>
      <c r="C131" s="3"/>
      <c r="D131" s="3"/>
      <c r="E131" s="3"/>
      <c r="F131" s="3">
        <v>5939.55</v>
      </c>
      <c r="G131" s="3">
        <v>2.2999999999999998</v>
      </c>
      <c r="H131" s="3"/>
      <c r="I131" s="3">
        <v>364400</v>
      </c>
      <c r="J131" s="3">
        <v>-6400</v>
      </c>
      <c r="K131" s="3">
        <v>98850</v>
      </c>
    </row>
    <row r="132" spans="1:11" x14ac:dyDescent="0.45">
      <c r="A132">
        <v>31200</v>
      </c>
      <c r="B132" s="3">
        <v>50</v>
      </c>
      <c r="C132" s="3"/>
      <c r="D132" s="3"/>
      <c r="E132" s="3"/>
      <c r="F132" s="3">
        <v>4969.25</v>
      </c>
      <c r="G132" s="3">
        <v>3.8</v>
      </c>
      <c r="H132" s="3"/>
      <c r="I132" s="3">
        <v>116450</v>
      </c>
      <c r="J132" s="3">
        <v>-2325</v>
      </c>
      <c r="K132" s="3">
        <v>14575</v>
      </c>
    </row>
    <row r="133" spans="1:11" x14ac:dyDescent="0.45">
      <c r="A133">
        <v>31300</v>
      </c>
      <c r="B133" s="3">
        <v>50</v>
      </c>
      <c r="C133" s="3"/>
      <c r="D133" s="3"/>
      <c r="E133" s="3"/>
      <c r="F133" s="3">
        <v>4401.7</v>
      </c>
      <c r="G133" s="3">
        <v>3.95</v>
      </c>
      <c r="H133" s="3"/>
      <c r="I133" s="3">
        <v>153600</v>
      </c>
      <c r="J133" s="3">
        <v>-5025</v>
      </c>
      <c r="K133" s="3">
        <v>11375</v>
      </c>
    </row>
    <row r="134" spans="1:11" x14ac:dyDescent="0.45">
      <c r="A134">
        <v>31600</v>
      </c>
      <c r="B134" s="3">
        <v>50</v>
      </c>
      <c r="C134" s="3"/>
      <c r="D134" s="3"/>
      <c r="E134" s="3"/>
      <c r="F134" s="3">
        <v>4223.05</v>
      </c>
      <c r="G134" s="3">
        <v>4.5</v>
      </c>
      <c r="H134" s="3"/>
      <c r="I134" s="3">
        <v>285475</v>
      </c>
      <c r="J134" s="3">
        <v>-24475</v>
      </c>
      <c r="K134" s="3">
        <v>27400</v>
      </c>
    </row>
    <row r="135" spans="1:11" x14ac:dyDescent="0.45">
      <c r="A135">
        <v>31900</v>
      </c>
      <c r="B135" s="3">
        <v>25</v>
      </c>
      <c r="C135" s="3"/>
      <c r="D135" s="3">
        <v>25</v>
      </c>
      <c r="E135" s="3"/>
      <c r="F135" s="3">
        <v>3504.5</v>
      </c>
      <c r="G135" s="3">
        <v>4.5999999999999996</v>
      </c>
      <c r="H135" s="3"/>
      <c r="I135" s="3">
        <v>541425</v>
      </c>
      <c r="J135" s="3">
        <v>13950</v>
      </c>
      <c r="K135" s="3">
        <v>39600</v>
      </c>
    </row>
    <row r="136" spans="1:11" x14ac:dyDescent="0.45">
      <c r="A136">
        <v>30900</v>
      </c>
      <c r="B136" s="3">
        <v>25</v>
      </c>
      <c r="C136" s="3"/>
      <c r="D136" s="3"/>
      <c r="E136" s="3"/>
      <c r="F136" s="3">
        <v>5165</v>
      </c>
      <c r="G136" s="3">
        <v>3.45</v>
      </c>
      <c r="H136" s="3"/>
      <c r="I136" s="3">
        <v>40225</v>
      </c>
      <c r="J136" s="3">
        <v>-100</v>
      </c>
      <c r="K136" s="3">
        <v>4175</v>
      </c>
    </row>
    <row r="137" spans="1:11" x14ac:dyDescent="0.45">
      <c r="A137">
        <v>30100</v>
      </c>
      <c r="B137" s="3">
        <v>25</v>
      </c>
      <c r="C137" s="3"/>
      <c r="D137" s="3"/>
      <c r="E137" s="3"/>
      <c r="F137" s="3">
        <v>3500.1</v>
      </c>
      <c r="G137" s="3">
        <v>2.9</v>
      </c>
      <c r="H137" s="3"/>
      <c r="I137" s="3">
        <v>38200</v>
      </c>
      <c r="J137" s="3">
        <v>-975</v>
      </c>
      <c r="K137" s="3">
        <v>6100</v>
      </c>
    </row>
    <row r="138" spans="1:11" x14ac:dyDescent="0.45">
      <c r="A138">
        <v>30400</v>
      </c>
      <c r="B138" s="3">
        <v>25</v>
      </c>
      <c r="C138" s="3"/>
      <c r="D138" s="3"/>
      <c r="E138" s="3"/>
      <c r="F138" s="3">
        <v>2880</v>
      </c>
      <c r="G138" s="3">
        <v>2.95</v>
      </c>
      <c r="H138" s="3"/>
      <c r="I138" s="3">
        <v>13875</v>
      </c>
      <c r="J138" s="3">
        <v>2325</v>
      </c>
      <c r="K138" s="3">
        <v>3850</v>
      </c>
    </row>
    <row r="139" spans="1:11" x14ac:dyDescent="0.45">
      <c r="A139">
        <v>30600</v>
      </c>
      <c r="B139" s="3">
        <v>25</v>
      </c>
      <c r="C139" s="3"/>
      <c r="D139" s="3"/>
      <c r="E139" s="3"/>
      <c r="F139" s="3">
        <v>2518.5500000000002</v>
      </c>
      <c r="G139" s="3">
        <v>3.3</v>
      </c>
      <c r="H139" s="3"/>
      <c r="I139" s="3">
        <v>13975</v>
      </c>
      <c r="J139" s="3">
        <v>2050</v>
      </c>
      <c r="K139" s="3">
        <v>3150</v>
      </c>
    </row>
    <row r="140" spans="1:11" x14ac:dyDescent="0.45">
      <c r="A140">
        <v>30800</v>
      </c>
      <c r="B140" s="3">
        <v>25</v>
      </c>
      <c r="C140" s="3"/>
      <c r="D140" s="3"/>
      <c r="E140" s="3"/>
      <c r="F140" s="3">
        <v>2435.4</v>
      </c>
      <c r="G140" s="3">
        <v>3.1</v>
      </c>
      <c r="H140" s="3"/>
      <c r="I140" s="3">
        <v>43075</v>
      </c>
      <c r="J140" s="3">
        <v>-2500</v>
      </c>
      <c r="K140" s="3">
        <v>5025</v>
      </c>
    </row>
    <row r="141" spans="1:11" x14ac:dyDescent="0.45">
      <c r="A141">
        <v>32400</v>
      </c>
      <c r="B141" s="3">
        <v>1</v>
      </c>
      <c r="C141" s="3">
        <v>25</v>
      </c>
      <c r="D141" s="3"/>
      <c r="E141" s="3"/>
      <c r="F141" s="3">
        <v>3065.4</v>
      </c>
      <c r="G141" s="3">
        <v>5.95</v>
      </c>
      <c r="H141" s="3"/>
      <c r="I141" s="3">
        <v>835850</v>
      </c>
      <c r="J141" s="3">
        <v>13825</v>
      </c>
      <c r="K141" s="3">
        <v>58750</v>
      </c>
    </row>
    <row r="142" spans="1:11" x14ac:dyDescent="0.45">
      <c r="A142">
        <v>26000</v>
      </c>
      <c r="B142" s="3"/>
      <c r="C142" s="3"/>
      <c r="D142" s="3"/>
      <c r="E142" s="3"/>
      <c r="F142" s="3"/>
      <c r="G142" s="3"/>
      <c r="H142" s="3"/>
      <c r="I142" s="3"/>
      <c r="J142" s="3"/>
      <c r="K142" s="3"/>
    </row>
    <row r="143" spans="1:11" x14ac:dyDescent="0.45">
      <c r="A143">
        <v>29000</v>
      </c>
      <c r="B143" s="3"/>
      <c r="C143" s="3"/>
      <c r="D143" s="3"/>
      <c r="E143" s="3"/>
      <c r="F143" s="3"/>
      <c r="G143" s="3">
        <v>2.2999999999999998</v>
      </c>
      <c r="H143" s="3"/>
      <c r="I143" s="3">
        <v>540400</v>
      </c>
      <c r="J143" s="3">
        <v>3025</v>
      </c>
      <c r="K143" s="3">
        <v>91725</v>
      </c>
    </row>
    <row r="144" spans="1:11" x14ac:dyDescent="0.45">
      <c r="A144">
        <v>29100</v>
      </c>
      <c r="B144" s="3"/>
      <c r="C144" s="3"/>
      <c r="D144" s="3"/>
      <c r="E144" s="3"/>
      <c r="F144" s="3"/>
      <c r="G144" s="3">
        <v>2.6</v>
      </c>
      <c r="H144" s="3"/>
      <c r="I144" s="3">
        <v>30225</v>
      </c>
      <c r="J144" s="3">
        <v>2225</v>
      </c>
      <c r="K144" s="3">
        <v>6700</v>
      </c>
    </row>
    <row r="145" spans="1:11" x14ac:dyDescent="0.45">
      <c r="A145">
        <v>29200</v>
      </c>
      <c r="B145" s="3"/>
      <c r="C145" s="3"/>
      <c r="D145" s="3"/>
      <c r="E145" s="3"/>
      <c r="F145" s="3"/>
      <c r="G145" s="3">
        <v>1.8</v>
      </c>
      <c r="H145" s="3"/>
      <c r="I145" s="3">
        <v>2050</v>
      </c>
      <c r="J145" s="3">
        <v>625</v>
      </c>
      <c r="K145" s="3">
        <v>625</v>
      </c>
    </row>
    <row r="146" spans="1:11" x14ac:dyDescent="0.45">
      <c r="A146">
        <v>29300</v>
      </c>
      <c r="B146" s="3"/>
      <c r="C146" s="3"/>
      <c r="D146" s="3"/>
      <c r="E146" s="3"/>
      <c r="F146" s="3"/>
      <c r="G146" s="3">
        <v>2.6</v>
      </c>
      <c r="H146" s="3"/>
      <c r="I146" s="3">
        <v>18975</v>
      </c>
      <c r="J146" s="3">
        <v>-375</v>
      </c>
      <c r="K146" s="3">
        <v>3750</v>
      </c>
    </row>
    <row r="147" spans="1:11" x14ac:dyDescent="0.45">
      <c r="A147">
        <v>29400</v>
      </c>
      <c r="B147" s="3"/>
      <c r="C147" s="3"/>
      <c r="D147" s="3"/>
      <c r="E147" s="3"/>
      <c r="F147" s="3"/>
      <c r="G147" s="3">
        <v>2.4</v>
      </c>
      <c r="H147" s="3"/>
      <c r="I147" s="3">
        <v>14275</v>
      </c>
      <c r="J147" s="3">
        <v>825</v>
      </c>
      <c r="K147" s="3">
        <v>1600</v>
      </c>
    </row>
    <row r="148" spans="1:11" x14ac:dyDescent="0.45">
      <c r="A148">
        <v>29600</v>
      </c>
      <c r="B148" s="3"/>
      <c r="C148" s="3"/>
      <c r="D148" s="3"/>
      <c r="E148" s="3"/>
      <c r="F148" s="3"/>
      <c r="G148" s="3">
        <v>2.15</v>
      </c>
      <c r="H148" s="3"/>
      <c r="I148" s="3">
        <v>30875</v>
      </c>
      <c r="J148" s="3">
        <v>125</v>
      </c>
      <c r="K148" s="3">
        <v>8650</v>
      </c>
    </row>
    <row r="149" spans="1:11" x14ac:dyDescent="0.45">
      <c r="A149">
        <v>29700</v>
      </c>
      <c r="B149" s="3"/>
      <c r="C149" s="3"/>
      <c r="D149" s="3"/>
      <c r="E149" s="3"/>
      <c r="F149" s="3"/>
      <c r="G149" s="3">
        <v>2.5</v>
      </c>
      <c r="H149" s="3"/>
      <c r="I149" s="3">
        <v>6725</v>
      </c>
      <c r="J149" s="3">
        <v>575</v>
      </c>
      <c r="K149" s="3">
        <v>575</v>
      </c>
    </row>
    <row r="150" spans="1:11" x14ac:dyDescent="0.45">
      <c r="A150">
        <v>29800</v>
      </c>
      <c r="B150" s="3"/>
      <c r="C150" s="3"/>
      <c r="D150" s="3"/>
      <c r="E150" s="3"/>
      <c r="F150" s="3"/>
      <c r="G150" s="3">
        <v>2.15</v>
      </c>
      <c r="H150" s="3"/>
      <c r="I150" s="3">
        <v>7750</v>
      </c>
      <c r="J150" s="3">
        <v>350</v>
      </c>
      <c r="K150" s="3">
        <v>650</v>
      </c>
    </row>
    <row r="151" spans="1:11" x14ac:dyDescent="0.45">
      <c r="A151">
        <v>29900</v>
      </c>
      <c r="B151" s="3"/>
      <c r="C151" s="3"/>
      <c r="D151" s="3"/>
      <c r="E151" s="3"/>
      <c r="F151" s="3"/>
      <c r="G151" s="3">
        <v>2.65</v>
      </c>
      <c r="H151" s="3"/>
      <c r="I151" s="3">
        <v>14900</v>
      </c>
      <c r="J151" s="3">
        <v>-1375</v>
      </c>
      <c r="K151" s="3">
        <v>2625</v>
      </c>
    </row>
    <row r="152" spans="1:11" x14ac:dyDescent="0.45">
      <c r="A152">
        <v>30200</v>
      </c>
      <c r="B152" s="3"/>
      <c r="C152" s="3"/>
      <c r="D152" s="3"/>
      <c r="E152" s="3"/>
      <c r="F152" s="3"/>
      <c r="G152" s="3">
        <v>3.1</v>
      </c>
      <c r="H152" s="3"/>
      <c r="I152" s="3">
        <v>27125</v>
      </c>
      <c r="J152" s="3">
        <v>2625</v>
      </c>
      <c r="K152" s="3">
        <v>6125</v>
      </c>
    </row>
    <row r="153" spans="1:11" x14ac:dyDescent="0.45">
      <c r="A153">
        <v>30300</v>
      </c>
      <c r="B153" s="3"/>
      <c r="C153" s="3"/>
      <c r="D153" s="3"/>
      <c r="E153" s="3"/>
      <c r="F153" s="3"/>
      <c r="G153" s="3">
        <v>3.15</v>
      </c>
      <c r="H153" s="3"/>
      <c r="I153" s="3">
        <v>20500</v>
      </c>
      <c r="J153" s="3">
        <v>-2700</v>
      </c>
      <c r="K153" s="3">
        <v>7350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88F94-F95A-4685-BB09-3B2B51DFC61C}">
  <sheetPr codeName="Sheet2"/>
  <dimension ref="A1:Q51"/>
  <sheetViews>
    <sheetView tabSelected="1" zoomScale="90" zoomScaleNormal="90" workbookViewId="0">
      <pane ySplit="5" topLeftCell="A6" activePane="bottomLeft" state="frozen"/>
      <selection pane="bottomLeft" activeCell="A2" sqref="A2"/>
    </sheetView>
  </sheetViews>
  <sheetFormatPr defaultRowHeight="28.5" x14ac:dyDescent="0.45"/>
  <cols>
    <col min="1" max="1" width="10.53125" customWidth="1"/>
    <col min="5" max="5" width="16.53125" style="1" customWidth="1"/>
    <col min="6" max="6" width="11.265625" style="3" customWidth="1"/>
    <col min="7" max="7" width="14.59765625" style="2" customWidth="1"/>
    <col min="8" max="8" width="13.1328125" customWidth="1"/>
    <col min="16" max="16" width="9.9296875" bestFit="1" customWidth="1"/>
  </cols>
  <sheetData>
    <row r="1" spans="1:17" x14ac:dyDescent="0.45">
      <c r="A1" s="4" t="s">
        <v>6</v>
      </c>
      <c r="B1" s="4" t="s">
        <v>1</v>
      </c>
      <c r="C1" s="4" t="s">
        <v>2</v>
      </c>
      <c r="D1" s="4" t="s">
        <v>3</v>
      </c>
      <c r="E1" s="4" t="s">
        <v>5</v>
      </c>
      <c r="F1" s="5" t="s">
        <v>61</v>
      </c>
      <c r="G1" s="4" t="s">
        <v>56</v>
      </c>
      <c r="H1" s="4" t="s">
        <v>4</v>
      </c>
      <c r="I1" s="4" t="s">
        <v>8</v>
      </c>
      <c r="P1">
        <f>MROUND(P5+400,100)</f>
        <v>36100</v>
      </c>
      <c r="Q1">
        <f>VLOOKUP(P1,data[],6,0)</f>
        <v>320</v>
      </c>
    </row>
    <row r="2" spans="1:17" x14ac:dyDescent="0.45">
      <c r="A2">
        <v>35900</v>
      </c>
      <c r="B2">
        <f>IFERROR(LOOKUP(A2,data[Strike  Price],data[LTP]),"")</f>
        <v>420</v>
      </c>
      <c r="C2">
        <v>25</v>
      </c>
      <c r="D2">
        <f>IFERROR(B2*C2,"")</f>
        <v>10500</v>
      </c>
      <c r="E2" s="1">
        <f ca="1">TODAY()</f>
        <v>44648</v>
      </c>
      <c r="F2" s="3">
        <f>'Table 0'!B4</f>
        <v>35710.5</v>
      </c>
      <c r="G2" s="2" t="str">
        <f>IFERROR(VLOOKUP($A$2,Table4[],2,0),"Not Purchase")</f>
        <v>Not Purchase</v>
      </c>
      <c r="H2" s="2" t="str">
        <f>IFERROR(B2-G2,"not Purchase")</f>
        <v>not Purchase</v>
      </c>
      <c r="I2" t="str">
        <f>IF(A2&lt;F2,"Pe","Ce")</f>
        <v>Ce</v>
      </c>
      <c r="O2" t="s">
        <v>62</v>
      </c>
      <c r="P2">
        <f>MROUND(P5+300,100)</f>
        <v>36000</v>
      </c>
      <c r="Q2">
        <f>VLOOKUP(P2,data[],6,0)</f>
        <v>367.9</v>
      </c>
    </row>
    <row r="3" spans="1:17" x14ac:dyDescent="0.45">
      <c r="E3"/>
      <c r="F3" s="1"/>
      <c r="P3">
        <f>MROUND(P5+200,100)</f>
        <v>35900</v>
      </c>
      <c r="Q3">
        <f>VLOOKUP(P3,data[],6,0)</f>
        <v>420</v>
      </c>
    </row>
    <row r="4" spans="1:17" ht="24" customHeight="1" x14ac:dyDescent="0.45">
      <c r="E4"/>
      <c r="O4" t="s">
        <v>21</v>
      </c>
      <c r="P4">
        <f>MROUND(P5+100,100)</f>
        <v>35800</v>
      </c>
      <c r="Q4">
        <f>VLOOKUP(P4,data[],6,0)</f>
        <v>471.4</v>
      </c>
    </row>
    <row r="5" spans="1:17" x14ac:dyDescent="0.45">
      <c r="A5" t="s">
        <v>6</v>
      </c>
      <c r="B5" t="s">
        <v>1</v>
      </c>
      <c r="C5" t="s">
        <v>2</v>
      </c>
      <c r="D5" t="s">
        <v>57</v>
      </c>
      <c r="E5" s="1" t="s">
        <v>5</v>
      </c>
      <c r="F5" s="3" t="s">
        <v>58</v>
      </c>
      <c r="G5" t="s">
        <v>59</v>
      </c>
      <c r="H5" t="s">
        <v>4</v>
      </c>
      <c r="I5" t="s">
        <v>60</v>
      </c>
      <c r="J5">
        <v>37000</v>
      </c>
      <c r="K5" t="s">
        <v>18</v>
      </c>
      <c r="L5" t="s">
        <v>20</v>
      </c>
      <c r="O5" t="s">
        <v>61</v>
      </c>
      <c r="P5" s="12">
        <f>F2</f>
        <v>35710.5</v>
      </c>
      <c r="Q5">
        <f>'Table 0'!C4</f>
        <v>300.39999999999998</v>
      </c>
    </row>
    <row r="6" spans="1:17" x14ac:dyDescent="0.45">
      <c r="G6"/>
      <c r="O6" t="s">
        <v>21</v>
      </c>
      <c r="P6">
        <f>MROUND(P5-100,100)</f>
        <v>35600</v>
      </c>
      <c r="Q6">
        <f>VLOOKUP(P6,data[],6,0)</f>
        <v>587</v>
      </c>
    </row>
    <row r="7" spans="1:17" x14ac:dyDescent="0.45">
      <c r="G7"/>
      <c r="O7" t="s">
        <v>62</v>
      </c>
      <c r="P7">
        <v>36000</v>
      </c>
      <c r="Q7">
        <v>367.9</v>
      </c>
    </row>
    <row r="8" spans="1:17" x14ac:dyDescent="0.45">
      <c r="G8"/>
      <c r="O8" t="s">
        <v>62</v>
      </c>
      <c r="P8">
        <v>36000</v>
      </c>
      <c r="Q8">
        <v>367.9</v>
      </c>
    </row>
    <row r="9" spans="1:17" x14ac:dyDescent="0.45">
      <c r="G9"/>
      <c r="P9">
        <f>MROUND(P5-200,100)</f>
        <v>35500</v>
      </c>
      <c r="Q9">
        <f>VLOOKUP(P9,data[],6,0)</f>
        <v>657.55</v>
      </c>
    </row>
    <row r="10" spans="1:17" x14ac:dyDescent="0.45">
      <c r="G10"/>
      <c r="O10" t="s">
        <v>63</v>
      </c>
      <c r="P10">
        <f>MROUND(P5-300,100)</f>
        <v>35400</v>
      </c>
      <c r="Q10">
        <f>VLOOKUP(P10,data[],6,0)</f>
        <v>720.2</v>
      </c>
    </row>
    <row r="11" spans="1:17" x14ac:dyDescent="0.45">
      <c r="G11"/>
      <c r="P11">
        <f>MROUND(P5-400,100)</f>
        <v>35300</v>
      </c>
      <c r="Q11">
        <f>VLOOKUP(P11,data[],6,0)</f>
        <v>800</v>
      </c>
    </row>
    <row r="12" spans="1:17" x14ac:dyDescent="0.45">
      <c r="G12"/>
    </row>
    <row r="13" spans="1:17" x14ac:dyDescent="0.45">
      <c r="G13"/>
    </row>
    <row r="14" spans="1:17" x14ac:dyDescent="0.45">
      <c r="G14"/>
    </row>
    <row r="15" spans="1:17" x14ac:dyDescent="0.45">
      <c r="G15"/>
    </row>
    <row r="16" spans="1:17" x14ac:dyDescent="0.45">
      <c r="G16"/>
    </row>
    <row r="17" spans="7:7" x14ac:dyDescent="0.45">
      <c r="G17"/>
    </row>
    <row r="18" spans="7:7" x14ac:dyDescent="0.45">
      <c r="G18"/>
    </row>
    <row r="19" spans="7:7" x14ac:dyDescent="0.45">
      <c r="G19"/>
    </row>
    <row r="20" spans="7:7" x14ac:dyDescent="0.45">
      <c r="G20"/>
    </row>
    <row r="21" spans="7:7" x14ac:dyDescent="0.45">
      <c r="G21"/>
    </row>
    <row r="22" spans="7:7" x14ac:dyDescent="0.45">
      <c r="G22"/>
    </row>
    <row r="23" spans="7:7" x14ac:dyDescent="0.45">
      <c r="G23"/>
    </row>
    <row r="24" spans="7:7" x14ac:dyDescent="0.45">
      <c r="G24"/>
    </row>
    <row r="25" spans="7:7" x14ac:dyDescent="0.45">
      <c r="G25"/>
    </row>
    <row r="26" spans="7:7" x14ac:dyDescent="0.45">
      <c r="G26"/>
    </row>
    <row r="27" spans="7:7" x14ac:dyDescent="0.45">
      <c r="G27"/>
    </row>
    <row r="28" spans="7:7" x14ac:dyDescent="0.45">
      <c r="G28"/>
    </row>
    <row r="29" spans="7:7" x14ac:dyDescent="0.45">
      <c r="G29"/>
    </row>
    <row r="30" spans="7:7" x14ac:dyDescent="0.45">
      <c r="G30"/>
    </row>
    <row r="31" spans="7:7" x14ac:dyDescent="0.45">
      <c r="G31"/>
    </row>
    <row r="32" spans="7:7" x14ac:dyDescent="0.45">
      <c r="G32"/>
    </row>
    <row r="33" spans="7:10" x14ac:dyDescent="0.45">
      <c r="G33"/>
    </row>
    <row r="34" spans="7:10" x14ac:dyDescent="0.45">
      <c r="G34"/>
    </row>
    <row r="35" spans="7:10" x14ac:dyDescent="0.45">
      <c r="G35"/>
    </row>
    <row r="36" spans="7:10" x14ac:dyDescent="0.45">
      <c r="G36"/>
    </row>
    <row r="37" spans="7:10" x14ac:dyDescent="0.45">
      <c r="G37"/>
    </row>
    <row r="38" spans="7:10" x14ac:dyDescent="0.45">
      <c r="G38"/>
    </row>
    <row r="39" spans="7:10" x14ac:dyDescent="0.45">
      <c r="G39"/>
      <c r="J39">
        <v>353556</v>
      </c>
    </row>
    <row r="40" spans="7:10" x14ac:dyDescent="0.45">
      <c r="G40"/>
    </row>
    <row r="41" spans="7:10" x14ac:dyDescent="0.45">
      <c r="G41"/>
    </row>
    <row r="42" spans="7:10" x14ac:dyDescent="0.45">
      <c r="G42"/>
    </row>
    <row r="43" spans="7:10" x14ac:dyDescent="0.45">
      <c r="G43"/>
    </row>
    <row r="44" spans="7:10" x14ac:dyDescent="0.45">
      <c r="G44"/>
    </row>
    <row r="45" spans="7:10" x14ac:dyDescent="0.45">
      <c r="G45"/>
    </row>
    <row r="46" spans="7:10" x14ac:dyDescent="0.45">
      <c r="G46"/>
    </row>
    <row r="47" spans="7:10" x14ac:dyDescent="0.45">
      <c r="G47"/>
    </row>
    <row r="48" spans="7:10" x14ac:dyDescent="0.45">
      <c r="G48"/>
    </row>
    <row r="49" spans="7:7" x14ac:dyDescent="0.45">
      <c r="G49"/>
    </row>
    <row r="50" spans="7:7" x14ac:dyDescent="0.45">
      <c r="G50"/>
    </row>
    <row r="51" spans="7:7" x14ac:dyDescent="0.45">
      <c r="G51"/>
    </row>
  </sheetData>
  <dataValidations count="1">
    <dataValidation type="list" allowBlank="1" showInputMessage="1" sqref="A2" xr:uid="{04561CCA-B968-48AE-8D95-BF891AA91295}">
      <formula1>$P$1:$P$11</formula1>
    </dataValidation>
  </dataValidations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A6C6-5C88-4E79-96D2-44C732C2F8E7}">
  <sheetPr codeName="Sheet3"/>
  <dimension ref="A1:L15"/>
  <sheetViews>
    <sheetView workbookViewId="0">
      <selection activeCell="C7" sqref="C7"/>
    </sheetView>
  </sheetViews>
  <sheetFormatPr defaultRowHeight="28.5" x14ac:dyDescent="0.45"/>
  <cols>
    <col min="1" max="1" width="9.06640625" style="1"/>
    <col min="5" max="5" width="12.53125" customWidth="1"/>
  </cols>
  <sheetData>
    <row r="1" spans="1:12" x14ac:dyDescent="0.45">
      <c r="A1" s="4" t="s">
        <v>6</v>
      </c>
      <c r="B1" s="4" t="s">
        <v>1</v>
      </c>
      <c r="C1" s="4" t="s">
        <v>2</v>
      </c>
      <c r="D1" s="4" t="s">
        <v>3</v>
      </c>
      <c r="E1" s="5" t="s">
        <v>5</v>
      </c>
      <c r="F1" s="6" t="s">
        <v>41</v>
      </c>
      <c r="G1" s="4" t="s">
        <v>7</v>
      </c>
      <c r="H1" s="4" t="s">
        <v>4</v>
      </c>
      <c r="I1" s="4" t="s">
        <v>8</v>
      </c>
      <c r="K1" s="4" t="s">
        <v>19</v>
      </c>
      <c r="L1" s="4" t="s">
        <v>4</v>
      </c>
    </row>
    <row r="2" spans="1:12" x14ac:dyDescent="0.45">
      <c r="A2" s="7"/>
      <c r="B2" s="8"/>
      <c r="C2" s="8"/>
      <c r="D2" s="8"/>
      <c r="E2" s="10"/>
      <c r="F2" s="11"/>
      <c r="G2" s="8"/>
      <c r="H2" s="8"/>
      <c r="I2" s="9"/>
    </row>
    <row r="3" spans="1:12" x14ac:dyDescent="0.45">
      <c r="A3" s="7"/>
      <c r="B3" s="8"/>
      <c r="C3" s="8"/>
      <c r="D3" s="8"/>
      <c r="E3" s="10"/>
      <c r="F3" s="11"/>
      <c r="G3" s="8"/>
      <c r="H3" s="8"/>
      <c r="I3" s="9"/>
    </row>
    <row r="4" spans="1:12" x14ac:dyDescent="0.45">
      <c r="A4" s="7"/>
      <c r="B4" s="8"/>
      <c r="C4" s="8"/>
      <c r="D4" s="8"/>
      <c r="E4" s="10"/>
      <c r="F4" s="11"/>
      <c r="G4" s="8"/>
      <c r="H4" s="8"/>
      <c r="I4" s="9"/>
    </row>
    <row r="5" spans="1:12" x14ac:dyDescent="0.45">
      <c r="A5" s="7"/>
      <c r="B5" s="8"/>
      <c r="C5" s="8"/>
      <c r="D5" s="8"/>
      <c r="E5" s="10"/>
      <c r="F5" s="11"/>
      <c r="G5" s="8"/>
      <c r="H5" s="8"/>
      <c r="I5" s="9"/>
    </row>
    <row r="6" spans="1:12" x14ac:dyDescent="0.45">
      <c r="A6" s="7"/>
      <c r="B6" s="8"/>
      <c r="C6" s="8"/>
      <c r="D6" s="8"/>
      <c r="E6" s="10"/>
      <c r="F6" s="11"/>
      <c r="G6" s="8"/>
      <c r="H6" s="8"/>
      <c r="I6" s="9"/>
    </row>
    <row r="7" spans="1:12" x14ac:dyDescent="0.45">
      <c r="A7"/>
      <c r="E7" s="1"/>
      <c r="F7" s="3"/>
    </row>
    <row r="8" spans="1:12" x14ac:dyDescent="0.45">
      <c r="A8"/>
      <c r="E8" s="1"/>
      <c r="F8" s="3"/>
    </row>
    <row r="9" spans="1:12" x14ac:dyDescent="0.45">
      <c r="A9"/>
      <c r="E9" s="1"/>
      <c r="F9" s="3"/>
    </row>
    <row r="10" spans="1:12" x14ac:dyDescent="0.45">
      <c r="A10"/>
      <c r="E10" s="1"/>
      <c r="F10" s="3"/>
    </row>
    <row r="11" spans="1:12" x14ac:dyDescent="0.45">
      <c r="A11"/>
      <c r="E11" s="1"/>
      <c r="F11" s="3"/>
    </row>
    <row r="12" spans="1:12" x14ac:dyDescent="0.45">
      <c r="A12"/>
      <c r="F12" s="1"/>
    </row>
    <row r="13" spans="1:12" x14ac:dyDescent="0.45">
      <c r="A13"/>
      <c r="F13" s="1"/>
    </row>
    <row r="14" spans="1:12" x14ac:dyDescent="0.45">
      <c r="A14"/>
      <c r="F14" s="1"/>
    </row>
    <row r="15" spans="1:12" x14ac:dyDescent="0.45">
      <c r="A15"/>
      <c r="F1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BB988-E306-4DD7-91C8-0EE55A940E09}">
  <sheetPr codeName="Sheet5"/>
  <dimension ref="A1:J16"/>
  <sheetViews>
    <sheetView workbookViewId="0">
      <selection activeCell="B4" sqref="B4"/>
    </sheetView>
  </sheetViews>
  <sheetFormatPr defaultRowHeight="28.5" x14ac:dyDescent="0.45"/>
  <cols>
    <col min="1" max="1" width="14.59765625" bestFit="1" customWidth="1"/>
    <col min="2" max="4" width="9.06640625" bestFit="1" customWidth="1"/>
    <col min="9" max="9" width="23.265625" bestFit="1" customWidth="1"/>
    <col min="10" max="10" width="10.53125" bestFit="1" customWidth="1"/>
  </cols>
  <sheetData>
    <row r="1" spans="1:10" x14ac:dyDescent="0.45">
      <c r="A1" t="s">
        <v>22</v>
      </c>
      <c r="B1" t="s">
        <v>23</v>
      </c>
      <c r="C1" t="s">
        <v>24</v>
      </c>
      <c r="D1" t="s">
        <v>25</v>
      </c>
      <c r="F1" t="s">
        <v>42</v>
      </c>
      <c r="G1" t="s">
        <v>43</v>
      </c>
      <c r="I1" t="s">
        <v>54</v>
      </c>
      <c r="J1" t="s">
        <v>52</v>
      </c>
    </row>
    <row r="2" spans="1:10" x14ac:dyDescent="0.45">
      <c r="A2" s="3" t="s">
        <v>26</v>
      </c>
      <c r="B2">
        <v>17222</v>
      </c>
      <c r="C2">
        <v>69</v>
      </c>
      <c r="D2">
        <v>0.4</v>
      </c>
      <c r="I2" s="3" t="s">
        <v>44</v>
      </c>
      <c r="J2" s="3" t="s">
        <v>45</v>
      </c>
    </row>
    <row r="3" spans="1:10" x14ac:dyDescent="0.45">
      <c r="A3" s="3" t="s">
        <v>27</v>
      </c>
      <c r="B3">
        <v>57593.49</v>
      </c>
      <c r="C3">
        <v>231.29</v>
      </c>
      <c r="D3">
        <v>0.4</v>
      </c>
      <c r="I3" s="3" t="s">
        <v>46</v>
      </c>
      <c r="J3" s="3" t="s">
        <v>47</v>
      </c>
    </row>
    <row r="4" spans="1:10" x14ac:dyDescent="0.45">
      <c r="A4" s="3" t="s">
        <v>28</v>
      </c>
      <c r="B4">
        <v>35710.5</v>
      </c>
      <c r="C4">
        <v>300.39999999999998</v>
      </c>
      <c r="D4">
        <v>0.85</v>
      </c>
      <c r="I4" s="3" t="s">
        <v>48</v>
      </c>
      <c r="J4" s="3" t="s">
        <v>47</v>
      </c>
    </row>
    <row r="5" spans="1:10" x14ac:dyDescent="0.45">
      <c r="A5" s="3" t="s">
        <v>29</v>
      </c>
      <c r="B5">
        <v>36026.1</v>
      </c>
      <c r="C5">
        <v>-126.2</v>
      </c>
      <c r="D5">
        <v>-0.35</v>
      </c>
    </row>
    <row r="6" spans="1:10" x14ac:dyDescent="0.45">
      <c r="A6" s="3" t="s">
        <v>30</v>
      </c>
      <c r="B6">
        <v>27653.23</v>
      </c>
      <c r="C6">
        <v>-147.37</v>
      </c>
      <c r="D6">
        <v>-0.53</v>
      </c>
      <c r="I6" t="s">
        <v>55</v>
      </c>
      <c r="J6" t="s">
        <v>52</v>
      </c>
    </row>
    <row r="7" spans="1:10" x14ac:dyDescent="0.45">
      <c r="A7" s="3" t="s">
        <v>31</v>
      </c>
      <c r="B7">
        <v>23695.919999999998</v>
      </c>
      <c r="C7">
        <v>-93.99</v>
      </c>
      <c r="D7">
        <v>-0.4</v>
      </c>
      <c r="I7" s="3" t="s">
        <v>44</v>
      </c>
      <c r="J7" s="3" t="s">
        <v>49</v>
      </c>
    </row>
    <row r="8" spans="1:10" x14ac:dyDescent="0.45">
      <c r="A8" s="3" t="s">
        <v>32</v>
      </c>
      <c r="B8">
        <v>10421.6</v>
      </c>
      <c r="C8">
        <v>67.400000000000006</v>
      </c>
      <c r="D8">
        <v>0.65</v>
      </c>
      <c r="I8" s="3" t="s">
        <v>46</v>
      </c>
      <c r="J8" s="3" t="s">
        <v>50</v>
      </c>
    </row>
    <row r="9" spans="1:10" x14ac:dyDescent="0.45">
      <c r="A9" s="3" t="s">
        <v>33</v>
      </c>
      <c r="B9">
        <v>26955.97</v>
      </c>
      <c r="C9">
        <v>-123.99</v>
      </c>
      <c r="D9">
        <v>-0.46</v>
      </c>
      <c r="I9" s="3" t="s">
        <v>48</v>
      </c>
      <c r="J9" s="3" t="s">
        <v>49</v>
      </c>
    </row>
    <row r="10" spans="1:10" x14ac:dyDescent="0.45">
      <c r="A10" s="3" t="s">
        <v>34</v>
      </c>
      <c r="B10">
        <v>41800.03</v>
      </c>
      <c r="C10">
        <v>-257.82</v>
      </c>
      <c r="D10">
        <v>-0.61</v>
      </c>
    </row>
    <row r="11" spans="1:10" x14ac:dyDescent="0.45">
      <c r="A11" s="3" t="s">
        <v>35</v>
      </c>
      <c r="B11">
        <v>13112.59</v>
      </c>
      <c r="C11">
        <v>44.65</v>
      </c>
      <c r="D11">
        <v>0.34</v>
      </c>
      <c r="I11" t="s">
        <v>53</v>
      </c>
      <c r="J11" t="s">
        <v>52</v>
      </c>
    </row>
    <row r="12" spans="1:10" x14ac:dyDescent="0.45">
      <c r="A12" s="3" t="s">
        <v>36</v>
      </c>
      <c r="B12">
        <v>24213.599999999999</v>
      </c>
      <c r="C12">
        <v>-122.1</v>
      </c>
      <c r="D12">
        <v>-0.5</v>
      </c>
      <c r="I12" s="3" t="s">
        <v>44</v>
      </c>
      <c r="J12" s="3" t="s">
        <v>45</v>
      </c>
    </row>
    <row r="13" spans="1:10" x14ac:dyDescent="0.45">
      <c r="A13" s="3" t="s">
        <v>37</v>
      </c>
      <c r="B13">
        <v>23090.31</v>
      </c>
      <c r="C13">
        <v>161.56</v>
      </c>
      <c r="D13">
        <v>0.7</v>
      </c>
      <c r="I13" s="3" t="s">
        <v>46</v>
      </c>
      <c r="J13" s="3" t="s">
        <v>51</v>
      </c>
    </row>
    <row r="14" spans="1:10" x14ac:dyDescent="0.45">
      <c r="A14" s="3" t="s">
        <v>38</v>
      </c>
      <c r="B14">
        <v>18895.57</v>
      </c>
      <c r="C14">
        <v>199.98</v>
      </c>
      <c r="D14">
        <v>1.07</v>
      </c>
      <c r="I14" s="3" t="s">
        <v>48</v>
      </c>
      <c r="J14" s="3" t="s">
        <v>47</v>
      </c>
    </row>
    <row r="15" spans="1:10" x14ac:dyDescent="0.45">
      <c r="A15" s="3" t="s">
        <v>39</v>
      </c>
      <c r="B15">
        <v>16037.1</v>
      </c>
      <c r="C15">
        <v>23.73</v>
      </c>
      <c r="D15">
        <v>0.15</v>
      </c>
    </row>
    <row r="16" spans="1:10" x14ac:dyDescent="0.45">
      <c r="A16" s="3" t="s">
        <v>40</v>
      </c>
      <c r="B16">
        <v>4103.55</v>
      </c>
      <c r="C16">
        <v>12.45</v>
      </c>
      <c r="D16">
        <v>0.3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F178-6845-4496-8414-DA7EA8DFF2DC}">
  <dimension ref="A1"/>
  <sheetViews>
    <sheetView workbookViewId="0">
      <selection activeCell="C4" sqref="C4"/>
    </sheetView>
  </sheetViews>
  <sheetFormatPr defaultRowHeight="28.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1309D3-9132-44B6-B479-F13648A7B8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data</vt:lpstr>
      <vt:lpstr>Main</vt:lpstr>
      <vt:lpstr>Profit Book</vt:lpstr>
      <vt:lpstr>Table 0</vt:lpstr>
      <vt:lpstr>test</vt:lpstr>
      <vt:lpstr>LTP</vt:lpstr>
      <vt:lpstr>strike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SHIRISH B TIWARI</dc:creator>
  <cp:lastModifiedBy>shirish Tiwari</cp:lastModifiedBy>
  <dcterms:created xsi:type="dcterms:W3CDTF">2022-03-16T12:58:29Z</dcterms:created>
  <dcterms:modified xsi:type="dcterms:W3CDTF">2022-03-28T14:07:36Z</dcterms:modified>
</cp:coreProperties>
</file>